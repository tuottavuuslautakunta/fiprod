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238715\Work Folders\R_pkg\fiprod\data-raw\rap_2026\"/>
    </mc:Choice>
  </mc:AlternateContent>
  <xr:revisionPtr revIDLastSave="0" documentId="13_ncr:1_{2DB6450C-91F0-47F4-8F1A-DACD415318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uvio 14" sheetId="4" r:id="rId1"/>
    <sheet name="Kuvio 15" sheetId="5" r:id="rId2"/>
    <sheet name="Kuvio 16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DefaultAppPool</author>
  </authors>
  <commentList>
    <comment ref="BA3" authorId="0" shapeId="0" xr:uid="{3B9904FB-94FC-4F84-BCC6-36210D82497C}">
      <text>
        <r>
          <rPr>
            <sz val="9"/>
            <color rgb="FF000000"/>
            <rFont val="Tahoma"/>
            <family val="2"/>
          </rPr>
          <t xml:space="preserve">* ennakkotieto
</t>
        </r>
      </text>
    </comment>
    <comment ref="BB3" authorId="0" shapeId="0" xr:uid="{0F91B6DC-664D-42DE-B911-7B6AB75FBA08}">
      <text>
        <r>
          <rPr>
            <sz val="9"/>
            <color rgb="FF000000"/>
            <rFont val="Tahoma"/>
            <family val="2"/>
          </rPr>
          <t xml:space="preserve">* ennakkotieto
</t>
        </r>
      </text>
    </comment>
  </commentList>
</comments>
</file>

<file path=xl/sharedStrings.xml><?xml version="1.0" encoding="utf-8"?>
<sst xmlns="http://schemas.openxmlformats.org/spreadsheetml/2006/main" count="111" uniqueCount="104">
  <si>
    <t>ANA Työllisyys ja työtunnit, vuosittain muuttujina Taloustoimi, Sektori, Toimiala, Vuosi ja Tiedot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</si>
  <si>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</si>
  <si>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</si>
  <si>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</si>
  <si>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</si>
  <si>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</si>
  <si>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</si>
  <si>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</si>
  <si>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</si>
  <si>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</si>
  <si>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</si>
  <si>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</si>
  <si>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</si>
  <si>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</si>
  <si>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</si>
  <si>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</si>
  <si>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</si>
  <si>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</si>
  <si>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</si>
  <si>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</si>
  <si>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</si>
  <si>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</si>
  <si>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</si>
  <si>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</si>
  <si>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</si>
  <si>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</si>
  <si>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</si>
  <si>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</si>
  <si>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</si>
  <si>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</si>
  <si>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</si>
  <si>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</si>
  <si>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</si>
  <si>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</si>
  <si>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</si>
  <si>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</si>
  <si>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</si>
  <si>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</si>
  <si>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</si>
  <si>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</si>
  <si>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</si>
  <si>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</si>
  <si>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</si>
  <si>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</si>
  <si>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</si>
  <si>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</si>
  <si>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</si>
  <si>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</si>
  <si>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</si>
  <si>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</si>
  <si>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2024*</t>
  </si>
  <si>
    <t>2025*</t>
  </si>
  <si>
    <t>E1 Työlliset, kotimaa (1000 henkeä)</t>
  </si>
  <si>
    <t>S1Y Yksityinen sektori</t>
  </si>
  <si>
    <t>S13 Julkisyhteisöt</t>
  </si>
  <si>
    <t>S14 Kotitaloudet</t>
  </si>
  <si>
    <t>S15 Kotitalouksia palvelevat voittoa tavoittelemattomat yhteisöt</t>
  </si>
  <si>
    <t>&lt;A HREF='https://stat.fi/tilasto/dokumentaatio/ntp' TARGET=_blank&gt;Tilaston dokumentaatio&lt;/A&gt;</t>
  </si>
  <si>
    <t>... tieto on salassapitosäännön alainen</t>
  </si>
  <si>
    <t>15ab -- ANA Työllisyys ja työtunnit, vuosittain, 1975-2025*, Kansantalouden tilinpito, Tilastokeskus</t>
  </si>
  <si>
    <t>Vuosi:</t>
  </si>
  <si>
    <t>* ennakkotieto</t>
  </si>
  <si>
    <t>2024*:</t>
  </si>
  <si>
    <t>2025*:</t>
  </si>
  <si>
    <t>Päivitetty viimeksi:</t>
  </si>
  <si>
    <t>Alkuperäinen sarja:</t>
  </si>
  <si>
    <t>20260828 08:00</t>
  </si>
  <si>
    <t>Lähde:</t>
  </si>
  <si>
    <t>Tilastokeskus, kansantalouden tilinpito. Tilastokeskus, kansantalouden tilinpito</t>
  </si>
  <si>
    <t>Yhteystiedot:</t>
  </si>
  <si>
    <t>&lt;A HREF='https://stat.fi/tilasto/ntp' TARGET=_blank&gt;Tilaston kotisivu&lt;/A&gt;</t>
  </si>
  <si>
    <t>Tekijänoikeus</t>
  </si>
  <si>
    <t>Yksikkö:</t>
  </si>
  <si>
    <t>ei määritelty</t>
  </si>
  <si>
    <t>Virallinen tilasto</t>
  </si>
  <si>
    <t>Sisäinen viitekoodi:</t>
  </si>
  <si>
    <t>15ab</t>
  </si>
  <si>
    <t>Yksityinen sektori</t>
  </si>
  <si>
    <t>Kotitaloudet</t>
  </si>
  <si>
    <t>Kotitalouksia palvelevat voittoa tavoittelemattomat yhteisöt</t>
  </si>
  <si>
    <t>Julkisyhteisöt</t>
  </si>
  <si>
    <t>Vuosi</t>
  </si>
  <si>
    <t>Vanhuuseläkkeet</t>
  </si>
  <si>
    <t>Täydet työkyvyttömyyseläkkeet</t>
  </si>
  <si>
    <t>Osatyökyvyttömyyseläkkeet</t>
  </si>
  <si>
    <t>Lähde: Keva (2025).</t>
  </si>
  <si>
    <t>Muuttumattoman politiikan skenaario</t>
  </si>
  <si>
    <t>Perusskenaario</t>
  </si>
  <si>
    <t>Optimistinen skenaario</t>
  </si>
  <si>
    <t>Inhimillinen pääomakanta, muuttumattoman politiikan skenaario</t>
  </si>
  <si>
    <t>Inhimillinen pääomakanta, perusskenaario</t>
  </si>
  <si>
    <t>Lukio</t>
  </si>
  <si>
    <t>AMK, alempi kk-aste</t>
  </si>
  <si>
    <t>Ylempi kk-aste</t>
  </si>
  <si>
    <t>Tutkijakoulutusaste</t>
  </si>
  <si>
    <t>Inhimillinen pääomakanta, optimistinen skenaario</t>
  </si>
  <si>
    <t>Alla copy-pastea kuvion teksteistä:</t>
  </si>
  <si>
    <t>Inhimillisen pääomakannan kehitys kolmessa eri ennusteskenaariossa 2024–2075</t>
  </si>
  <si>
    <t>Milj. euroa, volyymi, viitevuosi 2015</t>
  </si>
  <si>
    <t>Optimistinen skenaario: Vuoteen 2040 mennessä 70 %:lla 25-34-vuotiaista  korkea-asteen tutkinto</t>
  </si>
  <si>
    <t>Perusskenaario: Vuoteen 2035 mennessä 50 %:lla 25-34-vuotiaista korkea-asteen tutkinto</t>
  </si>
  <si>
    <t>Lähteet: Tilastokeskus, laskelmat Arto Kokkinen (VTV) ja Pirkka Jalasjoki (Suomen Pankki).</t>
  </si>
  <si>
    <t>Menetelmän kuvaus: Kokkinen, A., Obstbaum, M., ja Mäki-Fränti P. (2021). Bank of Finland’s Long-Run Forecast Framework with Human Capital. BoF Economics Review 10-2021.</t>
  </si>
  <si>
    <t xml:space="preserve">Amm. koulutus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</si>
</sst>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7474F"/>
      <name val="Calibri"/>
      <family val="2"/>
    </font>
    <font>
      <b/>
      <sz val="11"/>
      <color rgb="FF37474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6" fillId="0" borderId="0" xfId="1" applyFont="1" applyAlignment="1">
      <alignment vertical="center" wrapText="1"/>
    </xf>
    <xf numFmtId="0" fontId="1" fillId="0" borderId="0" xfId="1"/>
    <xf numFmtId="0" fontId="7" fillId="2" borderId="0" xfId="1" applyFont="1" applyFill="1"/>
    <xf numFmtId="3" fontId="1" fillId="2" borderId="0" xfId="1" applyNumberFormat="1" applyFill="1" applyAlignment="1">
      <alignment horizontal="right"/>
    </xf>
    <xf numFmtId="0" fontId="7" fillId="0" borderId="0" xfId="1" applyFont="1"/>
    <xf numFmtId="3" fontId="1" fillId="0" borderId="0" xfId="1" applyNumberFormat="1" applyAlignment="1">
      <alignment horizontal="right"/>
    </xf>
    <xf numFmtId="0" fontId="8" fillId="0" borderId="0" xfId="1" applyFont="1"/>
    <xf numFmtId="3" fontId="8" fillId="0" borderId="0" xfId="1" applyNumberFormat="1" applyFont="1"/>
    <xf numFmtId="0" fontId="1" fillId="0" borderId="0" xfId="1"/>
    <xf numFmtId="3" fontId="1" fillId="0" borderId="0" xfId="1" applyNumberFormat="1"/>
    <xf numFmtId="0" fontId="1" fillId="3" borderId="0" xfId="1" applyFill="1"/>
    <xf numFmtId="3" fontId="1" fillId="3" borderId="0" xfId="1" applyNumberFormat="1" applyFill="1"/>
    <xf numFmtId="0" fontId="5" fillId="0" borderId="0" xfId="1" applyFont="1"/>
    <xf numFmtId="0" fontId="5" fillId="3" borderId="0" xfId="1" applyFont="1" applyFill="1"/>
  </cellXfs>
  <cellStyles count="2">
    <cellStyle name="Normaali" xfId="0" builtinId="0"/>
    <cellStyle name="Normaali 2" xfId="1" xr:uid="{F3F4E985-E76F-4CF8-951E-C9948CCDC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Työllisten määrä julkisyheisöissä ja yksityisellä sektorilla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3116887270811578"/>
          <c:y val="0.25502616673792744"/>
          <c:w val="0.79236756695735611"/>
          <c:h val="0.5069783892095339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'Kuvio 14'!$C$5</c:f>
              <c:strCache>
                <c:ptCount val="1"/>
                <c:pt idx="0">
                  <c:v>Julkisyhteisöt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'Kuvio 14'!$D$3:$BB$3</c:f>
              <c:strCach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2024*</c:v>
                </c:pt>
                <c:pt idx="50">
                  <c:v>2025*</c:v>
                </c:pt>
              </c:strCache>
            </c:strRef>
          </c:cat>
          <c:val>
            <c:numRef>
              <c:f>'Kuvio 14'!$D$5:$BB$5</c:f>
              <c:numCache>
                <c:formatCode>0.0</c:formatCode>
                <c:ptCount val="51"/>
                <c:pt idx="0">
                  <c:v>370.3</c:v>
                </c:pt>
                <c:pt idx="1">
                  <c:v>394.4</c:v>
                </c:pt>
                <c:pt idx="2">
                  <c:v>410.3</c:v>
                </c:pt>
                <c:pt idx="3">
                  <c:v>426.9</c:v>
                </c:pt>
                <c:pt idx="4">
                  <c:v>442.7</c:v>
                </c:pt>
                <c:pt idx="5">
                  <c:v>457.8</c:v>
                </c:pt>
                <c:pt idx="6">
                  <c:v>477.3</c:v>
                </c:pt>
                <c:pt idx="7">
                  <c:v>496.1</c:v>
                </c:pt>
                <c:pt idx="8">
                  <c:v>509.7</c:v>
                </c:pt>
                <c:pt idx="9">
                  <c:v>519.5</c:v>
                </c:pt>
                <c:pt idx="10">
                  <c:v>533.9</c:v>
                </c:pt>
                <c:pt idx="11">
                  <c:v>544.79999999999995</c:v>
                </c:pt>
                <c:pt idx="12">
                  <c:v>561.29999999999995</c:v>
                </c:pt>
                <c:pt idx="13">
                  <c:v>574.79999999999995</c:v>
                </c:pt>
                <c:pt idx="14">
                  <c:v>580.29999999999995</c:v>
                </c:pt>
                <c:pt idx="15">
                  <c:v>585.20000000000005</c:v>
                </c:pt>
                <c:pt idx="16">
                  <c:v>589.4</c:v>
                </c:pt>
                <c:pt idx="17">
                  <c:v>573.79999999999995</c:v>
                </c:pt>
                <c:pt idx="18">
                  <c:v>545.79999999999995</c:v>
                </c:pt>
                <c:pt idx="19">
                  <c:v>543.20000000000005</c:v>
                </c:pt>
                <c:pt idx="20">
                  <c:v>550.29999999999995</c:v>
                </c:pt>
                <c:pt idx="21">
                  <c:v>558.5</c:v>
                </c:pt>
                <c:pt idx="22">
                  <c:v>572.1</c:v>
                </c:pt>
                <c:pt idx="23">
                  <c:v>570</c:v>
                </c:pt>
                <c:pt idx="24">
                  <c:v>572.79999999999995</c:v>
                </c:pt>
                <c:pt idx="25">
                  <c:v>583.20000000000005</c:v>
                </c:pt>
                <c:pt idx="26">
                  <c:v>591.70000000000005</c:v>
                </c:pt>
                <c:pt idx="27">
                  <c:v>605.4</c:v>
                </c:pt>
                <c:pt idx="28">
                  <c:v>610.70000000000005</c:v>
                </c:pt>
                <c:pt idx="29">
                  <c:v>613.79999999999995</c:v>
                </c:pt>
                <c:pt idx="30">
                  <c:v>613.79999999999995</c:v>
                </c:pt>
                <c:pt idx="31">
                  <c:v>617.20000000000005</c:v>
                </c:pt>
                <c:pt idx="32">
                  <c:v>616.4</c:v>
                </c:pt>
                <c:pt idx="33">
                  <c:v>622.29999999999995</c:v>
                </c:pt>
                <c:pt idx="34">
                  <c:v>624.9</c:v>
                </c:pt>
                <c:pt idx="35">
                  <c:v>624.29999999999995</c:v>
                </c:pt>
                <c:pt idx="36">
                  <c:v>628.9</c:v>
                </c:pt>
                <c:pt idx="37">
                  <c:v>629.9</c:v>
                </c:pt>
                <c:pt idx="38">
                  <c:v>632.9</c:v>
                </c:pt>
                <c:pt idx="39">
                  <c:v>626.4</c:v>
                </c:pt>
                <c:pt idx="40">
                  <c:v>619.9</c:v>
                </c:pt>
                <c:pt idx="41">
                  <c:v>615.5</c:v>
                </c:pt>
                <c:pt idx="42">
                  <c:v>620</c:v>
                </c:pt>
                <c:pt idx="43">
                  <c:v>634.5</c:v>
                </c:pt>
                <c:pt idx="44">
                  <c:v>642.29999999999995</c:v>
                </c:pt>
                <c:pt idx="45">
                  <c:v>649.5</c:v>
                </c:pt>
                <c:pt idx="46">
                  <c:v>667.6</c:v>
                </c:pt>
                <c:pt idx="47">
                  <c:v>682.3</c:v>
                </c:pt>
                <c:pt idx="48">
                  <c:v>704.6</c:v>
                </c:pt>
                <c:pt idx="49">
                  <c:v>706</c:v>
                </c:pt>
                <c:pt idx="50">
                  <c:v>699.5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7-461D-B257-B8F6817F4949}"/>
            </c:ext>
          </c:extLst>
        </c:ser>
        <c:ser>
          <c:idx val="0"/>
          <c:order val="1"/>
          <c:tx>
            <c:strRef>
              <c:f>'Kuvio 14'!$C$4</c:f>
              <c:strCache>
                <c:ptCount val="1"/>
                <c:pt idx="0">
                  <c:v>Yksityinen sektori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'Kuvio 14'!$D$3:$BB$3</c:f>
              <c:strCach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2024*</c:v>
                </c:pt>
                <c:pt idx="50">
                  <c:v>2025*</c:v>
                </c:pt>
              </c:strCache>
            </c:strRef>
          </c:cat>
          <c:val>
            <c:numRef>
              <c:f>'Kuvio 14'!$D$4:$BB$4</c:f>
              <c:numCache>
                <c:formatCode>0.0</c:formatCode>
                <c:ptCount val="51"/>
                <c:pt idx="0">
                  <c:v>1929.5</c:v>
                </c:pt>
                <c:pt idx="1">
                  <c:v>1888.6</c:v>
                </c:pt>
                <c:pt idx="2">
                  <c:v>1848.4</c:v>
                </c:pt>
                <c:pt idx="3">
                  <c:v>1821.3</c:v>
                </c:pt>
                <c:pt idx="4">
                  <c:v>1856.2</c:v>
                </c:pt>
                <c:pt idx="5">
                  <c:v>1902.3</c:v>
                </c:pt>
                <c:pt idx="6">
                  <c:v>1921.5</c:v>
                </c:pt>
                <c:pt idx="7">
                  <c:v>1917.6</c:v>
                </c:pt>
                <c:pt idx="8">
                  <c:v>1896.6</c:v>
                </c:pt>
                <c:pt idx="9">
                  <c:v>1894.7</c:v>
                </c:pt>
                <c:pt idx="10">
                  <c:v>1891.9</c:v>
                </c:pt>
                <c:pt idx="11">
                  <c:v>1871.7</c:v>
                </c:pt>
                <c:pt idx="12">
                  <c:v>1879.4</c:v>
                </c:pt>
                <c:pt idx="13">
                  <c:v>1873.9</c:v>
                </c:pt>
                <c:pt idx="14">
                  <c:v>1896.4</c:v>
                </c:pt>
                <c:pt idx="15">
                  <c:v>1883.2</c:v>
                </c:pt>
                <c:pt idx="16">
                  <c:v>1742.3</c:v>
                </c:pt>
                <c:pt idx="17">
                  <c:v>1602.3</c:v>
                </c:pt>
                <c:pt idx="18">
                  <c:v>1505.3</c:v>
                </c:pt>
                <c:pt idx="19">
                  <c:v>1474.3</c:v>
                </c:pt>
                <c:pt idx="20">
                  <c:v>1508.4</c:v>
                </c:pt>
                <c:pt idx="21">
                  <c:v>1535</c:v>
                </c:pt>
                <c:pt idx="22">
                  <c:v>1592.5</c:v>
                </c:pt>
                <c:pt idx="23">
                  <c:v>1637.8</c:v>
                </c:pt>
                <c:pt idx="24">
                  <c:v>1680.5</c:v>
                </c:pt>
                <c:pt idx="25">
                  <c:v>1716.6</c:v>
                </c:pt>
                <c:pt idx="26">
                  <c:v>1743.8</c:v>
                </c:pt>
                <c:pt idx="27">
                  <c:v>1759</c:v>
                </c:pt>
                <c:pt idx="28">
                  <c:v>1759.3</c:v>
                </c:pt>
                <c:pt idx="29">
                  <c:v>1768.7</c:v>
                </c:pt>
                <c:pt idx="30">
                  <c:v>1805.1</c:v>
                </c:pt>
                <c:pt idx="31">
                  <c:v>1847.2</c:v>
                </c:pt>
                <c:pt idx="32">
                  <c:v>1902.5</c:v>
                </c:pt>
                <c:pt idx="33">
                  <c:v>1952.8</c:v>
                </c:pt>
                <c:pt idx="34">
                  <c:v>1884.9</c:v>
                </c:pt>
                <c:pt idx="35">
                  <c:v>1866.7</c:v>
                </c:pt>
                <c:pt idx="36">
                  <c:v>1899.8</c:v>
                </c:pt>
                <c:pt idx="37">
                  <c:v>1914.3</c:v>
                </c:pt>
                <c:pt idx="38">
                  <c:v>1890.9</c:v>
                </c:pt>
                <c:pt idx="39">
                  <c:v>1883.6</c:v>
                </c:pt>
                <c:pt idx="40">
                  <c:v>1898.1</c:v>
                </c:pt>
                <c:pt idx="41">
                  <c:v>1916.5</c:v>
                </c:pt>
                <c:pt idx="42">
                  <c:v>1927.3</c:v>
                </c:pt>
                <c:pt idx="43">
                  <c:v>1979.1</c:v>
                </c:pt>
                <c:pt idx="44">
                  <c:v>2009.8</c:v>
                </c:pt>
                <c:pt idx="45">
                  <c:v>1940.5</c:v>
                </c:pt>
                <c:pt idx="46">
                  <c:v>1982.1</c:v>
                </c:pt>
                <c:pt idx="47">
                  <c:v>2060.5</c:v>
                </c:pt>
                <c:pt idx="48">
                  <c:v>2065.4</c:v>
                </c:pt>
                <c:pt idx="49">
                  <c:v>2042</c:v>
                </c:pt>
                <c:pt idx="50">
                  <c:v>2032.6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7-461D-B257-B8F6817F4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89951"/>
        <c:axId val="1152501551"/>
      </c:barChart>
      <c:catAx>
        <c:axId val="18348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52501551"/>
        <c:crosses val="autoZero"/>
        <c:auto val="1"/>
        <c:lblAlgn val="ctr"/>
        <c:lblOffset val="100"/>
        <c:noMultiLvlLbl val="0"/>
      </c:catAx>
      <c:valAx>
        <c:axId val="115250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Työlliset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834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209128259617818"/>
          <c:y val="5.925932838650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2965057775243388"/>
          <c:y val="0.17605456524300409"/>
          <c:w val="0.81836484588423686"/>
          <c:h val="0.6211532471895563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'Kuvio 15'!$B$1</c:f>
              <c:strCache>
                <c:ptCount val="1"/>
                <c:pt idx="0">
                  <c:v>Vanhuuseläkkeet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'Kuvio 15'!$A$2:$A$21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'Kuvio 15'!$B$2:$B$21</c:f>
              <c:numCache>
                <c:formatCode>#,##0</c:formatCode>
                <c:ptCount val="20"/>
                <c:pt idx="0">
                  <c:v>16581</c:v>
                </c:pt>
                <c:pt idx="1">
                  <c:v>32747</c:v>
                </c:pt>
                <c:pt idx="2">
                  <c:v>46431</c:v>
                </c:pt>
                <c:pt idx="3">
                  <c:v>59404</c:v>
                </c:pt>
                <c:pt idx="4">
                  <c:v>76058</c:v>
                </c:pt>
                <c:pt idx="5">
                  <c:v>93069</c:v>
                </c:pt>
                <c:pt idx="6">
                  <c:v>109169</c:v>
                </c:pt>
                <c:pt idx="7">
                  <c:v>123152</c:v>
                </c:pt>
                <c:pt idx="8">
                  <c:v>138529</c:v>
                </c:pt>
                <c:pt idx="9">
                  <c:v>152886</c:v>
                </c:pt>
                <c:pt idx="10">
                  <c:v>166627</c:v>
                </c:pt>
                <c:pt idx="11">
                  <c:v>176400</c:v>
                </c:pt>
                <c:pt idx="12">
                  <c:v>189757</c:v>
                </c:pt>
                <c:pt idx="13">
                  <c:v>201745</c:v>
                </c:pt>
                <c:pt idx="14">
                  <c:v>213980</c:v>
                </c:pt>
                <c:pt idx="15">
                  <c:v>225790</c:v>
                </c:pt>
                <c:pt idx="16">
                  <c:v>238114</c:v>
                </c:pt>
                <c:pt idx="17">
                  <c:v>249323</c:v>
                </c:pt>
                <c:pt idx="18">
                  <c:v>262402</c:v>
                </c:pt>
                <c:pt idx="19">
                  <c:v>275787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5-475A-85AE-D76CB274B328}"/>
            </c:ext>
          </c:extLst>
        </c:ser>
        <c:ser>
          <c:idx val="2"/>
          <c:order val="1"/>
          <c:tx>
            <c:strRef>
              <c:f>'Kuvio 15'!$C$1</c:f>
              <c:strCache>
                <c:ptCount val="1"/>
                <c:pt idx="0">
                  <c:v>Täydet työkyvyttömyyseläkkeet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'Kuvio 15'!$A$2:$A$21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'Kuvio 15'!$C$2:$C$21</c:f>
              <c:numCache>
                <c:formatCode>#,##0</c:formatCode>
                <c:ptCount val="20"/>
                <c:pt idx="0">
                  <c:v>2618</c:v>
                </c:pt>
                <c:pt idx="1">
                  <c:v>5201</c:v>
                </c:pt>
                <c:pt idx="2">
                  <c:v>7762</c:v>
                </c:pt>
                <c:pt idx="3">
                  <c:v>10277</c:v>
                </c:pt>
                <c:pt idx="4">
                  <c:v>12685</c:v>
                </c:pt>
                <c:pt idx="5">
                  <c:v>15083</c:v>
                </c:pt>
                <c:pt idx="6">
                  <c:v>17419</c:v>
                </c:pt>
                <c:pt idx="7">
                  <c:v>19697</c:v>
                </c:pt>
                <c:pt idx="8">
                  <c:v>21915</c:v>
                </c:pt>
                <c:pt idx="9">
                  <c:v>24089</c:v>
                </c:pt>
                <c:pt idx="10">
                  <c:v>26226</c:v>
                </c:pt>
                <c:pt idx="11">
                  <c:v>28364</c:v>
                </c:pt>
                <c:pt idx="12">
                  <c:v>30478</c:v>
                </c:pt>
                <c:pt idx="13">
                  <c:v>32570</c:v>
                </c:pt>
                <c:pt idx="14">
                  <c:v>34628</c:v>
                </c:pt>
                <c:pt idx="15">
                  <c:v>36553</c:v>
                </c:pt>
                <c:pt idx="16">
                  <c:v>38626</c:v>
                </c:pt>
                <c:pt idx="17">
                  <c:v>40552</c:v>
                </c:pt>
                <c:pt idx="18">
                  <c:v>42424</c:v>
                </c:pt>
                <c:pt idx="19">
                  <c:v>44241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5-475A-85AE-D76CB274B328}"/>
            </c:ext>
          </c:extLst>
        </c:ser>
        <c:ser>
          <c:idx val="3"/>
          <c:order val="2"/>
          <c:tx>
            <c:strRef>
              <c:f>'Kuvio 15'!$D$1</c:f>
              <c:strCache>
                <c:ptCount val="1"/>
                <c:pt idx="0">
                  <c:v>Osatyökyvyttömyyseläkkeet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'Kuvio 15'!$A$2:$A$21</c:f>
              <c:numCache>
                <c:formatCode>General</c:formatCode>
                <c:ptCount val="2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</c:numCache>
            </c:numRef>
          </c:cat>
          <c:val>
            <c:numRef>
              <c:f>'Kuvio 15'!$D$2:$D$21</c:f>
              <c:numCache>
                <c:formatCode>#,##0</c:formatCode>
                <c:ptCount val="20"/>
                <c:pt idx="0">
                  <c:v>2646</c:v>
                </c:pt>
                <c:pt idx="1">
                  <c:v>5278</c:v>
                </c:pt>
                <c:pt idx="2">
                  <c:v>7915</c:v>
                </c:pt>
                <c:pt idx="3">
                  <c:v>10517</c:v>
                </c:pt>
                <c:pt idx="4">
                  <c:v>13002</c:v>
                </c:pt>
                <c:pt idx="5">
                  <c:v>15501</c:v>
                </c:pt>
                <c:pt idx="6">
                  <c:v>17938</c:v>
                </c:pt>
                <c:pt idx="7">
                  <c:v>20321</c:v>
                </c:pt>
                <c:pt idx="8">
                  <c:v>22651</c:v>
                </c:pt>
                <c:pt idx="9">
                  <c:v>24952</c:v>
                </c:pt>
                <c:pt idx="10">
                  <c:v>27229</c:v>
                </c:pt>
                <c:pt idx="11">
                  <c:v>29533</c:v>
                </c:pt>
                <c:pt idx="12">
                  <c:v>31829</c:v>
                </c:pt>
                <c:pt idx="13">
                  <c:v>34120</c:v>
                </c:pt>
                <c:pt idx="14">
                  <c:v>36389</c:v>
                </c:pt>
                <c:pt idx="15">
                  <c:v>38639</c:v>
                </c:pt>
                <c:pt idx="16">
                  <c:v>40848</c:v>
                </c:pt>
                <c:pt idx="17">
                  <c:v>43020</c:v>
                </c:pt>
                <c:pt idx="18">
                  <c:v>45146</c:v>
                </c:pt>
                <c:pt idx="19">
                  <c:v>47230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85-475A-85AE-D76CB274B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8088528"/>
        <c:axId val="1347349904"/>
      </c:barChart>
      <c:catAx>
        <c:axId val="29808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47349904"/>
        <c:crosses val="autoZero"/>
        <c:auto val="1"/>
        <c:lblAlgn val="ctr"/>
        <c:lblOffset val="100"/>
        <c:noMultiLvlLbl val="0"/>
      </c:catAx>
      <c:valAx>
        <c:axId val="13473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9808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16196364702399"/>
          <c:y val="0.86999949839544855"/>
          <c:w val="0.73264407939047627"/>
          <c:h val="5.00004082827743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10</xdr:row>
      <xdr:rowOff>176212</xdr:rowOff>
    </xdr:from>
    <xdr:to>
      <xdr:col>22</xdr:col>
      <xdr:colOff>466725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E5C0A-B98B-9930-B6EE-FB99B0C5E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9525</xdr:colOff>
      <xdr:row>14</xdr:row>
      <xdr:rowOff>123825</xdr:rowOff>
    </xdr:from>
    <xdr:ext cx="111581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1171E6-E800-DBB5-EB84-A16927B52AD8}"/>
            </a:ext>
          </a:extLst>
        </xdr:cNvPr>
        <xdr:cNvSpPr txBox="1"/>
      </xdr:nvSpPr>
      <xdr:spPr>
        <a:xfrm>
          <a:off x="9153525" y="2838450"/>
          <a:ext cx="11158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i-FI" sz="1100"/>
            <a:t>Tuhatta työllistä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0.10394</cdr:x>
      <cdr:y>0.90568</cdr:y>
    </cdr:from>
    <cdr:to>
      <cdr:x>0.27599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EF499A3-E33F-E902-6C86-DA57BD1E9D83}"/>
            </a:ext>
          </a:extLst>
        </cdr:cNvPr>
        <cdr:cNvSpPr txBox="1"/>
      </cdr:nvSpPr>
      <cdr:spPr>
        <a:xfrm xmlns:a="http://schemas.openxmlformats.org/drawingml/2006/main">
          <a:off x="552450" y="3567112"/>
          <a:ext cx="91440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i-FI" sz="1100" kern="1200"/>
            <a:t>Lähde:</a:t>
          </a:r>
          <a:r>
            <a:rPr lang="fi-FI" sz="1100" kern="1200" baseline="0"/>
            <a:t> Tilastokeskus.</a:t>
          </a:r>
          <a:endParaRPr lang="fi-FI" sz="1100" kern="1200"/>
        </a:p>
      </cdr:txBody>
    </cdr:sp>
  </cdr:relSizeAnchor>
  <cdr:relSizeAnchor xmlns:cdr="http://schemas.openxmlformats.org/drawingml/2006/chartDrawing">
    <cdr:from>
      <cdr:x>0.10275</cdr:x>
      <cdr:y>0.84482</cdr:y>
    </cdr:from>
    <cdr:to>
      <cdr:x>0.92652</cdr:x>
      <cdr:y>0.93914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14F3FC-8DF8-F0BA-1F59-0C42CCDE8B29}"/>
            </a:ext>
          </a:extLst>
        </cdr:cNvPr>
        <cdr:cNvSpPr txBox="1"/>
      </cdr:nvSpPr>
      <cdr:spPr>
        <a:xfrm xmlns:a="http://schemas.openxmlformats.org/drawingml/2006/main">
          <a:off x="546099" y="3327400"/>
          <a:ext cx="4378325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i-FI" sz="1100" kern="1200"/>
            <a:t>* Ennakkotieto.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76199</xdr:colOff>
      <xdr:row>11</xdr:row>
      <xdr:rowOff>5</xdr:rowOff>
    </xdr:from>
    <xdr:to>
      <xdr:col>18</xdr:col>
      <xdr:colOff>447675</xdr:colOff>
      <xdr:row>33</xdr:row>
      <xdr:rowOff>95250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C4D0757-A75F-40A4-B274-D47C2C3A8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0.06333</cdr:x>
      <cdr:y>0.92889</cdr:y>
    </cdr:from>
    <cdr:to>
      <cdr:x>0.28424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8730707-14B3-251C-1BAF-93B896B32523}"/>
            </a:ext>
          </a:extLst>
        </cdr:cNvPr>
        <cdr:cNvSpPr txBox="1"/>
      </cdr:nvSpPr>
      <cdr:spPr>
        <a:xfrm xmlns:a="http://schemas.openxmlformats.org/drawingml/2006/main">
          <a:off x="409576" y="3981445"/>
          <a:ext cx="14287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i-FI" sz="1100" kern="1200"/>
            <a:t>Lähde: Keva (2025).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510540</xdr:colOff>
      <xdr:row>10</xdr:row>
      <xdr:rowOff>30480</xdr:rowOff>
    </xdr:from>
    <xdr:to>
      <xdr:col>20</xdr:col>
      <xdr:colOff>539115</xdr:colOff>
      <xdr:row>27</xdr:row>
      <xdr:rowOff>121920</xdr:rowOff>
    </xdr:to>
    <xdr:pic>
      <xdr:nvPicPr>
        <xdr:cNvPr id="2" name="drawing">
          <a:extLst>
            <a:ext uri="{FF2B5EF4-FFF2-40B4-BE49-F238E27FC236}">
              <a16:creationId xmlns:a16="http://schemas.microsoft.com/office/drawing/2014/main" id="{47F84C0B-3D54-7D6E-88E2-B3924C43C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25740" y="1859280"/>
          <a:ext cx="4905375" cy="3200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ppData/Local/Microsoft/Windows/INetCache/Content.Outlook/3G2MZQ3Q/Kuvio%2015%20El&#228;k&#246;itymisennuste%20julkisella%20sektorilla.xlsx" TargetMode="External"/><Relationship Id="rId2" Type="http://schemas.openxmlformats.org/officeDocument/2006/relationships/externalLinkPath" Target="file:///C:\Users\03238715\AppData\Local\Microsoft\Windows\INetCache\Content.Outlook\3G2MZQ3Q\Kuvio%2015%20El&#228;k&#246;itymisennuste%20julkisella%20sektorilla.xlsx" TargetMode="External"/><Relationship Id="rId1" Type="http://schemas.openxmlformats.org/officeDocument/2006/relationships/externalLinkPath" Target="/Users/03238715/AppData/Local/Microsoft/Windows/INetCache/Content.Outlook/3G2MZQ3Q/Kuvio%2015%20El&#228;k&#246;itymisennuste%20julkisella%20sektoril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uvio 15 Eläköityminen"/>
      <sheetName val="Kuvio 15 Eläköityminen (2)"/>
      <sheetName val="Kaavion data"/>
    </sheetNames>
    <sheetDataSet>
      <sheetData sheetId="0" refreshError="1"/>
      <sheetData sheetId="1">
        <row r="1">
          <cell r="B1" t="str">
            <v>Vanhuuseläkkeet</v>
          </cell>
          <cell r="C1" t="str">
            <v>Täydet työkyvyttömyyseläkkeet</v>
          </cell>
          <cell r="D1" t="str">
            <v>Osatyökyvyttömyyseläkkeet</v>
          </cell>
        </row>
        <row r="2">
          <cell r="A2">
            <v>2025</v>
          </cell>
          <cell r="B2">
            <v>16581</v>
          </cell>
          <cell r="C2">
            <v>2618</v>
          </cell>
          <cell r="D2">
            <v>2646</v>
          </cell>
        </row>
        <row r="3">
          <cell r="A3">
            <v>2026</v>
          </cell>
          <cell r="B3">
            <v>32747</v>
          </cell>
          <cell r="C3">
            <v>5201</v>
          </cell>
          <cell r="D3">
            <v>5278</v>
          </cell>
        </row>
        <row r="4">
          <cell r="A4">
            <v>2027</v>
          </cell>
          <cell r="B4">
            <v>46431</v>
          </cell>
          <cell r="C4">
            <v>7762</v>
          </cell>
          <cell r="D4">
            <v>7915</v>
          </cell>
        </row>
        <row r="5">
          <cell r="A5">
            <v>2028</v>
          </cell>
          <cell r="B5">
            <v>59404</v>
          </cell>
          <cell r="C5">
            <v>10277</v>
          </cell>
          <cell r="D5">
            <v>10517</v>
          </cell>
        </row>
        <row r="6">
          <cell r="A6">
            <v>2029</v>
          </cell>
          <cell r="B6">
            <v>76058</v>
          </cell>
          <cell r="C6">
            <v>12685</v>
          </cell>
          <cell r="D6">
            <v>13002</v>
          </cell>
        </row>
        <row r="7">
          <cell r="A7">
            <v>2030</v>
          </cell>
          <cell r="B7">
            <v>93069</v>
          </cell>
          <cell r="C7">
            <v>15083</v>
          </cell>
          <cell r="D7">
            <v>15501</v>
          </cell>
        </row>
        <row r="8">
          <cell r="A8">
            <v>2031</v>
          </cell>
          <cell r="B8">
            <v>109169</v>
          </cell>
          <cell r="C8">
            <v>17419</v>
          </cell>
          <cell r="D8">
            <v>17938</v>
          </cell>
        </row>
        <row r="9">
          <cell r="A9">
            <v>2032</v>
          </cell>
          <cell r="B9">
            <v>123152</v>
          </cell>
          <cell r="C9">
            <v>19697</v>
          </cell>
          <cell r="D9">
            <v>20321</v>
          </cell>
        </row>
        <row r="10">
          <cell r="A10">
            <v>2033</v>
          </cell>
          <cell r="B10">
            <v>138529</v>
          </cell>
          <cell r="C10">
            <v>21915</v>
          </cell>
          <cell r="D10">
            <v>22651</v>
          </cell>
        </row>
        <row r="11">
          <cell r="A11">
            <v>2034</v>
          </cell>
          <cell r="B11">
            <v>152886</v>
          </cell>
          <cell r="C11">
            <v>24089</v>
          </cell>
          <cell r="D11">
            <v>24952</v>
          </cell>
        </row>
        <row r="12">
          <cell r="A12">
            <v>2035</v>
          </cell>
          <cell r="B12">
            <v>166627</v>
          </cell>
          <cell r="C12">
            <v>26226</v>
          </cell>
          <cell r="D12">
            <v>27229</v>
          </cell>
        </row>
        <row r="13">
          <cell r="A13">
            <v>2036</v>
          </cell>
          <cell r="B13">
            <v>176400</v>
          </cell>
          <cell r="C13">
            <v>28364</v>
          </cell>
          <cell r="D13">
            <v>29533</v>
          </cell>
        </row>
        <row r="14">
          <cell r="A14">
            <v>2037</v>
          </cell>
          <cell r="B14">
            <v>189757</v>
          </cell>
          <cell r="C14">
            <v>30478</v>
          </cell>
          <cell r="D14">
            <v>31829</v>
          </cell>
        </row>
        <row r="15">
          <cell r="A15">
            <v>2038</v>
          </cell>
          <cell r="B15">
            <v>201745</v>
          </cell>
          <cell r="C15">
            <v>32570</v>
          </cell>
          <cell r="D15">
            <v>34120</v>
          </cell>
        </row>
        <row r="16">
          <cell r="A16">
            <v>2039</v>
          </cell>
          <cell r="B16">
            <v>213980</v>
          </cell>
          <cell r="C16">
            <v>34628</v>
          </cell>
          <cell r="D16">
            <v>36389</v>
          </cell>
        </row>
        <row r="17">
          <cell r="A17">
            <v>2040</v>
          </cell>
          <cell r="B17">
            <v>225790</v>
          </cell>
          <cell r="C17">
            <v>36553</v>
          </cell>
          <cell r="D17">
            <v>38639</v>
          </cell>
        </row>
        <row r="18">
          <cell r="A18">
            <v>2041</v>
          </cell>
          <cell r="B18">
            <v>238114</v>
          </cell>
          <cell r="C18">
            <v>38626</v>
          </cell>
          <cell r="D18">
            <v>40848</v>
          </cell>
        </row>
        <row r="19">
          <cell r="A19">
            <v>2042</v>
          </cell>
          <cell r="B19">
            <v>249323</v>
          </cell>
          <cell r="C19">
            <v>40552</v>
          </cell>
          <cell r="D19">
            <v>43020</v>
          </cell>
        </row>
        <row r="20">
          <cell r="A20">
            <v>2043</v>
          </cell>
          <cell r="B20">
            <v>262402</v>
          </cell>
          <cell r="C20">
            <v>42424</v>
          </cell>
          <cell r="D20">
            <v>45146</v>
          </cell>
        </row>
        <row r="21">
          <cell r="A21">
            <v>2044</v>
          </cell>
          <cell r="B21">
            <v>275787</v>
          </cell>
          <cell r="C21">
            <v>44241</v>
          </cell>
          <cell r="D21">
            <v>47230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B839-BF87-4654-B052-27E6428F0620}">
  <dimension ref="A1:BB50"/>
  <sheetViews>
    <sheetView workbookViewId="0">
      <selection activeCell="H26" sqref="H26"/>
    </sheetView>
  </sheetViews>
  <sheetFormatPr defaultRowHeight="14.4" x14ac:dyDescent="0.3"/>
  <cols>
    <col min="1" max="57" width="9.109375" customWidth="1"/>
  </cols>
  <sheetData>
    <row r="1" spans="1:54" ht="18" x14ac:dyDescent="0.35">
      <c r="A1" s="1" t="s">
        <v>0</v>
      </c>
    </row>
    <row r="3" spans="1:54" x14ac:dyDescent="0.3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  <c r="BA3" s="2" t="s">
        <v>50</v>
      </c>
      <c r="BB3" s="2" t="s">
        <v>51</v>
      </c>
    </row>
    <row r="4" spans="1:54" x14ac:dyDescent="0.3">
      <c r="A4" s="2" t="s">
        <v>52</v>
      </c>
      <c r="B4" s="2" t="s">
        <v>53</v>
      </c>
      <c r="C4" s="2" t="s">
        <v>77</v>
      </c>
      <c r="D4" s="3">
        <v>1929.5</v>
      </c>
      <c r="E4" s="3">
        <v>1888.6</v>
      </c>
      <c r="F4" s="3">
        <v>1848.4</v>
      </c>
      <c r="G4" s="3">
        <v>1821.3</v>
      </c>
      <c r="H4" s="3">
        <v>1856.2</v>
      </c>
      <c r="I4" s="3">
        <v>1902.3</v>
      </c>
      <c r="J4" s="3">
        <v>1921.5</v>
      </c>
      <c r="K4" s="3">
        <v>1917.6</v>
      </c>
      <c r="L4" s="3">
        <v>1896.6</v>
      </c>
      <c r="M4" s="3">
        <v>1894.7</v>
      </c>
      <c r="N4" s="3">
        <v>1891.9</v>
      </c>
      <c r="O4" s="3">
        <v>1871.7</v>
      </c>
      <c r="P4" s="3">
        <v>1879.4</v>
      </c>
      <c r="Q4" s="3">
        <v>1873.9</v>
      </c>
      <c r="R4" s="3">
        <v>1896.4</v>
      </c>
      <c r="S4" s="3">
        <v>1883.2</v>
      </c>
      <c r="T4" s="3">
        <v>1742.3</v>
      </c>
      <c r="U4" s="3">
        <v>1602.3</v>
      </c>
      <c r="V4" s="3">
        <v>1505.3</v>
      </c>
      <c r="W4" s="3">
        <v>1474.3</v>
      </c>
      <c r="X4" s="3">
        <v>1508.4</v>
      </c>
      <c r="Y4" s="3">
        <v>1535</v>
      </c>
      <c r="Z4" s="3">
        <v>1592.5</v>
      </c>
      <c r="AA4" s="3">
        <v>1637.8</v>
      </c>
      <c r="AB4" s="3">
        <v>1680.5</v>
      </c>
      <c r="AC4" s="3">
        <v>1716.6</v>
      </c>
      <c r="AD4" s="3">
        <v>1743.8</v>
      </c>
      <c r="AE4" s="3">
        <v>1759</v>
      </c>
      <c r="AF4" s="3">
        <v>1759.3</v>
      </c>
      <c r="AG4" s="3">
        <v>1768.7</v>
      </c>
      <c r="AH4" s="3">
        <v>1805.1</v>
      </c>
      <c r="AI4" s="3">
        <v>1847.2</v>
      </c>
      <c r="AJ4" s="3">
        <v>1902.5</v>
      </c>
      <c r="AK4" s="3">
        <v>1952.8</v>
      </c>
      <c r="AL4" s="3">
        <v>1884.9</v>
      </c>
      <c r="AM4" s="3">
        <v>1866.7</v>
      </c>
      <c r="AN4" s="3">
        <v>1899.8</v>
      </c>
      <c r="AO4" s="3">
        <v>1914.3</v>
      </c>
      <c r="AP4" s="3">
        <v>1890.9</v>
      </c>
      <c r="AQ4" s="3">
        <v>1883.6</v>
      </c>
      <c r="AR4" s="3">
        <v>1898.1</v>
      </c>
      <c r="AS4" s="3">
        <v>1916.5</v>
      </c>
      <c r="AT4" s="3">
        <v>1927.3</v>
      </c>
      <c r="AU4" s="3">
        <v>1979.1</v>
      </c>
      <c r="AV4" s="3">
        <v>2009.8</v>
      </c>
      <c r="AW4" s="3">
        <v>1940.5</v>
      </c>
      <c r="AX4" s="3">
        <v>1982.1</v>
      </c>
      <c r="AY4" s="3">
        <v>2060.5</v>
      </c>
      <c r="AZ4" s="3">
        <v>2065.4</v>
      </c>
      <c r="BA4" s="3">
        <v>2042</v>
      </c>
      <c r="BB4" s="3">
        <v>2032.6</v>
      </c>
    </row>
    <row r="5" spans="1:54" x14ac:dyDescent="0.3">
      <c r="B5" s="2" t="s">
        <v>54</v>
      </c>
      <c r="C5" s="2" t="s">
        <v>80</v>
      </c>
      <c r="D5" s="3">
        <v>370.3</v>
      </c>
      <c r="E5" s="3">
        <v>394.4</v>
      </c>
      <c r="F5" s="3">
        <v>410.3</v>
      </c>
      <c r="G5" s="3">
        <v>426.9</v>
      </c>
      <c r="H5" s="3">
        <v>442.7</v>
      </c>
      <c r="I5" s="3">
        <v>457.8</v>
      </c>
      <c r="J5" s="3">
        <v>477.3</v>
      </c>
      <c r="K5" s="3">
        <v>496.1</v>
      </c>
      <c r="L5" s="3">
        <v>509.7</v>
      </c>
      <c r="M5" s="3">
        <v>519.5</v>
      </c>
      <c r="N5" s="3">
        <v>533.9</v>
      </c>
      <c r="O5" s="3">
        <v>544.79999999999995</v>
      </c>
      <c r="P5" s="3">
        <v>561.29999999999995</v>
      </c>
      <c r="Q5" s="3">
        <v>574.79999999999995</v>
      </c>
      <c r="R5" s="3">
        <v>580.29999999999995</v>
      </c>
      <c r="S5" s="3">
        <v>585.20000000000005</v>
      </c>
      <c r="T5" s="3">
        <v>589.4</v>
      </c>
      <c r="U5" s="3">
        <v>573.79999999999995</v>
      </c>
      <c r="V5" s="3">
        <v>545.79999999999995</v>
      </c>
      <c r="W5" s="3">
        <v>543.20000000000005</v>
      </c>
      <c r="X5" s="3">
        <v>550.29999999999995</v>
      </c>
      <c r="Y5" s="3">
        <v>558.5</v>
      </c>
      <c r="Z5" s="3">
        <v>572.1</v>
      </c>
      <c r="AA5" s="3">
        <v>570</v>
      </c>
      <c r="AB5" s="3">
        <v>572.79999999999995</v>
      </c>
      <c r="AC5" s="3">
        <v>583.20000000000005</v>
      </c>
      <c r="AD5" s="3">
        <v>591.70000000000005</v>
      </c>
      <c r="AE5" s="3">
        <v>605.4</v>
      </c>
      <c r="AF5" s="3">
        <v>610.70000000000005</v>
      </c>
      <c r="AG5" s="3">
        <v>613.79999999999995</v>
      </c>
      <c r="AH5" s="3">
        <v>613.79999999999995</v>
      </c>
      <c r="AI5" s="3">
        <v>617.20000000000005</v>
      </c>
      <c r="AJ5" s="3">
        <v>616.4</v>
      </c>
      <c r="AK5" s="3">
        <v>622.29999999999995</v>
      </c>
      <c r="AL5" s="3">
        <v>624.9</v>
      </c>
      <c r="AM5" s="3">
        <v>624.29999999999995</v>
      </c>
      <c r="AN5" s="3">
        <v>628.9</v>
      </c>
      <c r="AO5" s="3">
        <v>629.9</v>
      </c>
      <c r="AP5" s="3">
        <v>632.9</v>
      </c>
      <c r="AQ5" s="3">
        <v>626.4</v>
      </c>
      <c r="AR5" s="3">
        <v>619.9</v>
      </c>
      <c r="AS5" s="3">
        <v>615.5</v>
      </c>
      <c r="AT5" s="3">
        <v>620</v>
      </c>
      <c r="AU5" s="3">
        <v>634.5</v>
      </c>
      <c r="AV5" s="3">
        <v>642.29999999999995</v>
      </c>
      <c r="AW5" s="3">
        <v>649.5</v>
      </c>
      <c r="AX5" s="3">
        <v>667.6</v>
      </c>
      <c r="AY5" s="3">
        <v>682.3</v>
      </c>
      <c r="AZ5" s="3">
        <v>704.6</v>
      </c>
      <c r="BA5" s="3">
        <v>706</v>
      </c>
      <c r="BB5" s="3">
        <v>699.5</v>
      </c>
    </row>
    <row r="6" spans="1:54" x14ac:dyDescent="0.3">
      <c r="B6" s="2" t="s">
        <v>55</v>
      </c>
      <c r="C6" s="2" t="s">
        <v>78</v>
      </c>
      <c r="D6" s="3">
        <v>361.2</v>
      </c>
      <c r="E6" s="3">
        <v>354.5</v>
      </c>
      <c r="F6" s="3">
        <v>350.1</v>
      </c>
      <c r="G6" s="3">
        <v>350.2</v>
      </c>
      <c r="H6" s="3">
        <v>351.8</v>
      </c>
      <c r="I6" s="3">
        <v>348.3</v>
      </c>
      <c r="J6" s="3">
        <v>356.9</v>
      </c>
      <c r="K6" s="3">
        <v>349.3</v>
      </c>
      <c r="L6" s="3">
        <v>327.39999999999998</v>
      </c>
      <c r="M6" s="3">
        <v>319.60000000000002</v>
      </c>
      <c r="N6" s="3">
        <v>311.3</v>
      </c>
      <c r="O6" s="3">
        <v>303</v>
      </c>
      <c r="P6" s="3">
        <v>304.89999999999998</v>
      </c>
      <c r="Q6" s="3">
        <v>281.5</v>
      </c>
      <c r="R6" s="3">
        <v>272</v>
      </c>
      <c r="S6" s="3">
        <v>269.89999999999998</v>
      </c>
      <c r="T6" s="3">
        <v>258.7</v>
      </c>
      <c r="U6" s="3">
        <v>250.8</v>
      </c>
      <c r="V6" s="3">
        <v>237.8</v>
      </c>
      <c r="W6" s="3">
        <v>233.3</v>
      </c>
      <c r="X6" s="3">
        <v>235.3</v>
      </c>
      <c r="Y6" s="3">
        <v>235.1</v>
      </c>
      <c r="Z6" s="3">
        <v>235.4</v>
      </c>
      <c r="AA6" s="3">
        <v>228.2</v>
      </c>
      <c r="AB6" s="3">
        <v>223.9</v>
      </c>
      <c r="AC6" s="3">
        <v>219.9</v>
      </c>
      <c r="AD6" s="3">
        <v>218.5</v>
      </c>
      <c r="AE6" s="3">
        <v>218.1</v>
      </c>
      <c r="AF6" s="3">
        <v>221</v>
      </c>
      <c r="AG6" s="3">
        <v>221.1</v>
      </c>
      <c r="AH6" s="3">
        <v>220</v>
      </c>
      <c r="AI6" s="3">
        <v>226</v>
      </c>
      <c r="AJ6" s="3">
        <v>226.4</v>
      </c>
      <c r="AK6" s="3">
        <v>226.2</v>
      </c>
      <c r="AL6" s="3">
        <v>227.5</v>
      </c>
      <c r="AM6" s="3">
        <v>227.8</v>
      </c>
      <c r="AN6" s="3">
        <v>233.6</v>
      </c>
      <c r="AO6" s="3">
        <v>227.9</v>
      </c>
      <c r="AP6" s="3">
        <v>222.1</v>
      </c>
      <c r="AQ6" s="3">
        <v>221.8</v>
      </c>
      <c r="AR6" s="3">
        <v>223.4</v>
      </c>
      <c r="AS6" s="3">
        <v>223.6</v>
      </c>
      <c r="AT6" s="3">
        <v>214.7</v>
      </c>
      <c r="AU6" s="3">
        <v>216.8</v>
      </c>
      <c r="AV6" s="3">
        <v>216.5</v>
      </c>
      <c r="AW6" s="3">
        <v>205.8</v>
      </c>
      <c r="AX6" s="3">
        <v>206.8</v>
      </c>
      <c r="AY6" s="3">
        <v>201.2</v>
      </c>
      <c r="AZ6" s="3">
        <v>192</v>
      </c>
      <c r="BA6" s="3">
        <v>186.2</v>
      </c>
      <c r="BB6" s="3">
        <v>186.2</v>
      </c>
    </row>
    <row r="7" spans="1:54" x14ac:dyDescent="0.3">
      <c r="B7" s="2" t="s">
        <v>56</v>
      </c>
      <c r="C7" s="2" t="s">
        <v>79</v>
      </c>
      <c r="D7" s="3">
        <v>54.1</v>
      </c>
      <c r="E7" s="3">
        <v>54</v>
      </c>
      <c r="F7" s="3">
        <v>54.8</v>
      </c>
      <c r="G7" s="3">
        <v>55.3</v>
      </c>
      <c r="H7" s="3">
        <v>58.3</v>
      </c>
      <c r="I7" s="3">
        <v>60.7</v>
      </c>
      <c r="J7" s="3">
        <v>63.6</v>
      </c>
      <c r="K7" s="3">
        <v>65</v>
      </c>
      <c r="L7" s="3">
        <v>66.900000000000006</v>
      </c>
      <c r="M7" s="3">
        <v>68.7</v>
      </c>
      <c r="N7" s="3">
        <v>69.3</v>
      </c>
      <c r="O7" s="3">
        <v>70.5</v>
      </c>
      <c r="P7" s="3">
        <v>70.400000000000006</v>
      </c>
      <c r="Q7" s="3">
        <v>73.099999999999994</v>
      </c>
      <c r="R7" s="3">
        <v>75</v>
      </c>
      <c r="S7" s="3">
        <v>76</v>
      </c>
      <c r="T7" s="3">
        <v>74.900000000000006</v>
      </c>
      <c r="U7" s="3">
        <v>76.5</v>
      </c>
      <c r="V7" s="3">
        <v>75.599999999999994</v>
      </c>
      <c r="W7" s="3">
        <v>73.900000000000006</v>
      </c>
      <c r="X7" s="3">
        <v>76.099999999999994</v>
      </c>
      <c r="Y7" s="3">
        <v>78.8</v>
      </c>
      <c r="Z7" s="3">
        <v>83.3</v>
      </c>
      <c r="AA7" s="3">
        <v>88.9</v>
      </c>
      <c r="AB7" s="3">
        <v>94.4</v>
      </c>
      <c r="AC7" s="3">
        <v>96.2</v>
      </c>
      <c r="AD7" s="3">
        <v>100.1</v>
      </c>
      <c r="AE7" s="3">
        <v>103.4</v>
      </c>
      <c r="AF7" s="3">
        <v>106.5</v>
      </c>
      <c r="AG7" s="3">
        <v>109</v>
      </c>
      <c r="AH7" s="3">
        <v>109.1</v>
      </c>
      <c r="AI7" s="3">
        <v>109.8</v>
      </c>
      <c r="AJ7" s="3">
        <v>113.2</v>
      </c>
      <c r="AK7" s="3">
        <v>114.2</v>
      </c>
      <c r="AL7" s="3">
        <v>116.3</v>
      </c>
      <c r="AM7" s="3">
        <v>118.3</v>
      </c>
      <c r="AN7" s="3">
        <v>116.8</v>
      </c>
      <c r="AO7" s="3">
        <v>117.2</v>
      </c>
      <c r="AP7" s="3">
        <v>117.3</v>
      </c>
      <c r="AQ7" s="3">
        <v>115.8</v>
      </c>
      <c r="AR7" s="3">
        <v>113.2</v>
      </c>
      <c r="AS7" s="3">
        <v>112.7</v>
      </c>
      <c r="AT7" s="3">
        <v>113.7</v>
      </c>
      <c r="AU7" s="3">
        <v>109.2</v>
      </c>
      <c r="AV7" s="3">
        <v>111.3</v>
      </c>
      <c r="AW7" s="3">
        <v>106.4</v>
      </c>
      <c r="AX7" s="3">
        <v>107.6</v>
      </c>
      <c r="AY7" s="3">
        <v>115.7</v>
      </c>
      <c r="AZ7" s="3">
        <v>122</v>
      </c>
      <c r="BA7" s="3">
        <v>120.3</v>
      </c>
      <c r="BB7" s="3">
        <v>118.1</v>
      </c>
    </row>
    <row r="9" spans="1:54" x14ac:dyDescent="0.3">
      <c r="A9" t="s">
        <v>57</v>
      </c>
    </row>
    <row r="10" spans="1:54" x14ac:dyDescent="0.3">
      <c r="A10" t="s">
        <v>58</v>
      </c>
    </row>
    <row r="11" spans="1:54" x14ac:dyDescent="0.3">
      <c r="A11" t="s">
        <v>59</v>
      </c>
    </row>
    <row r="12" spans="1:54" x14ac:dyDescent="0.3">
      <c r="A12" t="s">
        <v>60</v>
      </c>
    </row>
    <row r="13" spans="1:54" x14ac:dyDescent="0.3">
      <c r="A13" t="s">
        <v>61</v>
      </c>
    </row>
    <row r="15" spans="1:54" x14ac:dyDescent="0.3">
      <c r="A15" t="s">
        <v>60</v>
      </c>
    </row>
    <row r="16" spans="1:54" x14ac:dyDescent="0.3">
      <c r="A16" t="s">
        <v>62</v>
      </c>
    </row>
    <row r="17" spans="1:1" x14ac:dyDescent="0.3">
      <c r="A17" t="s">
        <v>61</v>
      </c>
    </row>
    <row r="19" spans="1:1" x14ac:dyDescent="0.3">
      <c r="A19" t="s">
        <v>60</v>
      </c>
    </row>
    <row r="20" spans="1:1" x14ac:dyDescent="0.3">
      <c r="A20" t="s">
        <v>63</v>
      </c>
    </row>
    <row r="21" spans="1:1" x14ac:dyDescent="0.3">
      <c r="A21" t="s">
        <v>61</v>
      </c>
    </row>
    <row r="24" spans="1:1" x14ac:dyDescent="0.3">
      <c r="A24" t="s">
        <v>64</v>
      </c>
    </row>
    <row r="25" spans="1:1" x14ac:dyDescent="0.3">
      <c r="A25" t="s">
        <v>65</v>
      </c>
    </row>
    <row r="26" spans="1:1" x14ac:dyDescent="0.3">
      <c r="A26" t="s">
        <v>66</v>
      </c>
    </row>
    <row r="28" spans="1:1" x14ac:dyDescent="0.3">
      <c r="A28" t="s">
        <v>67</v>
      </c>
    </row>
    <row r="29" spans="1:1" x14ac:dyDescent="0.3">
      <c r="A29" t="s">
        <v>68</v>
      </c>
    </row>
    <row r="31" spans="1:1" x14ac:dyDescent="0.3">
      <c r="A31" t="s">
        <v>69</v>
      </c>
    </row>
    <row r="32" spans="1:1" x14ac:dyDescent="0.3">
      <c r="A32" t="s">
        <v>65</v>
      </c>
    </row>
    <row r="33" spans="1:1" x14ac:dyDescent="0.3">
      <c r="A33" t="s">
        <v>70</v>
      </c>
    </row>
    <row r="35" spans="1:1" x14ac:dyDescent="0.3">
      <c r="A35" t="s">
        <v>71</v>
      </c>
    </row>
    <row r="37" spans="1:1" x14ac:dyDescent="0.3">
      <c r="A37" t="s">
        <v>72</v>
      </c>
    </row>
    <row r="38" spans="1:1" x14ac:dyDescent="0.3">
      <c r="A38" t="s">
        <v>65</v>
      </c>
    </row>
    <row r="39" spans="1:1" x14ac:dyDescent="0.3">
      <c r="A39" t="s">
        <v>73</v>
      </c>
    </row>
    <row r="46" spans="1:1" x14ac:dyDescent="0.3">
      <c r="A46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</sheetData>
  <pageMargins left="0.75" right="0.75" top="0.75" bottom="0.5" header="0.5" footer="0.7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3FBF-1479-450A-B12C-CDEC7C064F88}">
  <dimension ref="A1:D23"/>
  <sheetViews>
    <sheetView showGridLines="0" tabSelected="1"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10" style="5" customWidth="1"/>
    <col min="2" max="2" width="20" style="5" customWidth="1"/>
    <col min="3" max="3" width="31" style="5" customWidth="1"/>
    <col min="4" max="4" width="29" style="5" customWidth="1"/>
    <col min="5" max="16384" width="8.88671875" style="5"/>
  </cols>
  <sheetData>
    <row r="1" spans="1:4" ht="42" customHeight="1" x14ac:dyDescent="0.3">
      <c r="A1" s="4" t="s">
        <v>81</v>
      </c>
      <c r="B1" s="4" t="s">
        <v>82</v>
      </c>
      <c r="C1" s="4" t="s">
        <v>83</v>
      </c>
      <c r="D1" s="4" t="s">
        <v>84</v>
      </c>
    </row>
    <row r="2" spans="1:4" x14ac:dyDescent="0.3">
      <c r="A2" s="6">
        <v>2025</v>
      </c>
      <c r="B2" s="7">
        <v>16581</v>
      </c>
      <c r="C2" s="7">
        <v>2618</v>
      </c>
      <c r="D2" s="7">
        <v>2646</v>
      </c>
    </row>
    <row r="3" spans="1:4" x14ac:dyDescent="0.3">
      <c r="A3" s="8">
        <v>2026</v>
      </c>
      <c r="B3" s="9">
        <v>32747</v>
      </c>
      <c r="C3" s="9">
        <v>5201</v>
      </c>
      <c r="D3" s="9">
        <v>5278</v>
      </c>
    </row>
    <row r="4" spans="1:4" x14ac:dyDescent="0.3">
      <c r="A4" s="6">
        <v>2027</v>
      </c>
      <c r="B4" s="7">
        <v>46431</v>
      </c>
      <c r="C4" s="7">
        <v>7762</v>
      </c>
      <c r="D4" s="7">
        <v>7915</v>
      </c>
    </row>
    <row r="5" spans="1:4" x14ac:dyDescent="0.3">
      <c r="A5" s="8">
        <v>2028</v>
      </c>
      <c r="B5" s="9">
        <v>59404</v>
      </c>
      <c r="C5" s="9">
        <v>10277</v>
      </c>
      <c r="D5" s="9">
        <v>10517</v>
      </c>
    </row>
    <row r="6" spans="1:4" x14ac:dyDescent="0.3">
      <c r="A6" s="6">
        <v>2029</v>
      </c>
      <c r="B6" s="7">
        <v>76058</v>
      </c>
      <c r="C6" s="7">
        <v>12685</v>
      </c>
      <c r="D6" s="7">
        <v>13002</v>
      </c>
    </row>
    <row r="7" spans="1:4" x14ac:dyDescent="0.3">
      <c r="A7" s="8">
        <v>2030</v>
      </c>
      <c r="B7" s="9">
        <v>93069</v>
      </c>
      <c r="C7" s="9">
        <v>15083</v>
      </c>
      <c r="D7" s="9">
        <v>15501</v>
      </c>
    </row>
    <row r="8" spans="1:4" x14ac:dyDescent="0.3">
      <c r="A8" s="6">
        <v>2031</v>
      </c>
      <c r="B8" s="7">
        <v>109169</v>
      </c>
      <c r="C8" s="7">
        <v>17419</v>
      </c>
      <c r="D8" s="7">
        <v>17938</v>
      </c>
    </row>
    <row r="9" spans="1:4" x14ac:dyDescent="0.3">
      <c r="A9" s="8">
        <v>2032</v>
      </c>
      <c r="B9" s="9">
        <v>123152</v>
      </c>
      <c r="C9" s="9">
        <v>19697</v>
      </c>
      <c r="D9" s="9">
        <v>20321</v>
      </c>
    </row>
    <row r="10" spans="1:4" x14ac:dyDescent="0.3">
      <c r="A10" s="6">
        <v>2033</v>
      </c>
      <c r="B10" s="7">
        <v>138529</v>
      </c>
      <c r="C10" s="7">
        <v>21915</v>
      </c>
      <c r="D10" s="7">
        <v>22651</v>
      </c>
    </row>
    <row r="11" spans="1:4" x14ac:dyDescent="0.3">
      <c r="A11" s="8">
        <v>2034</v>
      </c>
      <c r="B11" s="9">
        <v>152886</v>
      </c>
      <c r="C11" s="9">
        <v>24089</v>
      </c>
      <c r="D11" s="9">
        <v>24952</v>
      </c>
    </row>
    <row r="12" spans="1:4" x14ac:dyDescent="0.3">
      <c r="A12" s="6">
        <v>2035</v>
      </c>
      <c r="B12" s="7">
        <v>166627</v>
      </c>
      <c r="C12" s="7">
        <v>26226</v>
      </c>
      <c r="D12" s="7">
        <v>27229</v>
      </c>
    </row>
    <row r="13" spans="1:4" x14ac:dyDescent="0.3">
      <c r="A13" s="8">
        <v>2036</v>
      </c>
      <c r="B13" s="9">
        <v>176400</v>
      </c>
      <c r="C13" s="9">
        <v>28364</v>
      </c>
      <c r="D13" s="9">
        <v>29533</v>
      </c>
    </row>
    <row r="14" spans="1:4" x14ac:dyDescent="0.3">
      <c r="A14" s="6">
        <v>2037</v>
      </c>
      <c r="B14" s="7">
        <v>189757</v>
      </c>
      <c r="C14" s="7">
        <v>30478</v>
      </c>
      <c r="D14" s="7">
        <v>31829</v>
      </c>
    </row>
    <row r="15" spans="1:4" x14ac:dyDescent="0.3">
      <c r="A15" s="8">
        <v>2038</v>
      </c>
      <c r="B15" s="9">
        <v>201745</v>
      </c>
      <c r="C15" s="9">
        <v>32570</v>
      </c>
      <c r="D15" s="9">
        <v>34120</v>
      </c>
    </row>
    <row r="16" spans="1:4" x14ac:dyDescent="0.3">
      <c r="A16" s="6">
        <v>2039</v>
      </c>
      <c r="B16" s="7">
        <v>213980</v>
      </c>
      <c r="C16" s="7">
        <v>34628</v>
      </c>
      <c r="D16" s="7">
        <v>36389</v>
      </c>
    </row>
    <row r="17" spans="1:4" x14ac:dyDescent="0.3">
      <c r="A17" s="8">
        <v>2040</v>
      </c>
      <c r="B17" s="9">
        <v>225790</v>
      </c>
      <c r="C17" s="9">
        <v>36553</v>
      </c>
      <c r="D17" s="9">
        <v>38639</v>
      </c>
    </row>
    <row r="18" spans="1:4" x14ac:dyDescent="0.3">
      <c r="A18" s="6">
        <v>2041</v>
      </c>
      <c r="B18" s="7">
        <v>238114</v>
      </c>
      <c r="C18" s="7">
        <v>38626</v>
      </c>
      <c r="D18" s="7">
        <v>40848</v>
      </c>
    </row>
    <row r="19" spans="1:4" x14ac:dyDescent="0.3">
      <c r="A19" s="8">
        <v>2042</v>
      </c>
      <c r="B19" s="9">
        <v>249323</v>
      </c>
      <c r="C19" s="9">
        <v>40552</v>
      </c>
      <c r="D19" s="9">
        <v>43020</v>
      </c>
    </row>
    <row r="20" spans="1:4" x14ac:dyDescent="0.3">
      <c r="A20" s="6">
        <v>2043</v>
      </c>
      <c r="B20" s="7">
        <v>262402</v>
      </c>
      <c r="C20" s="7">
        <v>42424</v>
      </c>
      <c r="D20" s="7">
        <v>45146</v>
      </c>
    </row>
    <row r="21" spans="1:4" x14ac:dyDescent="0.3">
      <c r="A21" s="8">
        <v>2044</v>
      </c>
      <c r="B21" s="9">
        <v>275787</v>
      </c>
      <c r="C21" s="9">
        <v>44241</v>
      </c>
      <c r="D21" s="9">
        <v>47230</v>
      </c>
    </row>
    <row r="22" spans="1:4" x14ac:dyDescent="0.3">
      <c r="A22" s="10"/>
      <c r="B22" s="11"/>
      <c r="C22" s="11"/>
      <c r="D22" s="11"/>
    </row>
    <row r="23" spans="1:4" x14ac:dyDescent="0.3">
      <c r="A23" s="5" t="s">
        <v>85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81FA-239D-4DDC-87F8-4F025A33FCF3}">
  <dimension ref="A1:L78"/>
  <sheetViews>
    <sheetView workbookViewId="0">
      <selection activeCell="E2" sqref="E2"/>
    </sheetView>
  </sheetViews>
  <sheetFormatPr defaultRowHeight="14.4" x14ac:dyDescent="0.3"/>
  <sheetData>
    <row r="1" spans="1:12" x14ac:dyDescent="0.3">
      <c r="A1" s="12"/>
      <c r="B1" s="16" t="s">
        <v>86</v>
      </c>
      <c r="C1" s="17" t="s">
        <v>87</v>
      </c>
      <c r="D1" s="12"/>
      <c r="E1" s="12"/>
      <c r="F1" s="12"/>
      <c r="G1" s="12"/>
      <c r="H1" s="12"/>
      <c r="I1" s="16" t="s">
        <v>88</v>
      </c>
      <c r="J1" s="12"/>
      <c r="K1" s="12"/>
      <c r="L1" s="12"/>
    </row>
    <row r="2" spans="1:12" x14ac:dyDescent="0.3">
      <c r="A2" s="12"/>
      <c r="B2" s="12" t="s">
        <v>89</v>
      </c>
      <c r="C2" s="14" t="s">
        <v>90</v>
      </c>
      <c r="D2" s="14" t="s">
        <v>91</v>
      </c>
      <c r="E2" s="14" t="s">
        <v>103</v>
      </c>
      <c r="F2" s="14" t="s">
        <v>92</v>
      </c>
      <c r="G2" s="14" t="s">
        <v>93</v>
      </c>
      <c r="H2" s="14" t="s">
        <v>94</v>
      </c>
      <c r="I2" s="12" t="s">
        <v>95</v>
      </c>
      <c r="J2" s="12"/>
      <c r="K2" s="12"/>
      <c r="L2" s="16" t="s">
        <v>96</v>
      </c>
    </row>
    <row r="3" spans="1:12" x14ac:dyDescent="0.3">
      <c r="A3" s="12">
        <v>2000</v>
      </c>
      <c r="B3" s="13">
        <v>111193.06568606486</v>
      </c>
      <c r="C3" s="15">
        <v>111193.06568606486</v>
      </c>
      <c r="D3" s="15">
        <v>40207.256886866788</v>
      </c>
      <c r="E3" s="15">
        <v>44467.800388841461</v>
      </c>
      <c r="F3" s="15">
        <v>6610.2292358657196</v>
      </c>
      <c r="G3" s="15">
        <v>15654.132218451967</v>
      </c>
      <c r="H3" s="15">
        <v>4253.6469560389287</v>
      </c>
      <c r="I3" s="13">
        <v>111193.06568606486</v>
      </c>
      <c r="J3" s="13"/>
      <c r="K3" s="12"/>
      <c r="L3" s="12" t="s">
        <v>97</v>
      </c>
    </row>
    <row r="4" spans="1:12" x14ac:dyDescent="0.3">
      <c r="A4" s="12">
        <v>2001</v>
      </c>
      <c r="B4" s="13">
        <v>115660.00883814586</v>
      </c>
      <c r="C4" s="15">
        <v>115660.00883814586</v>
      </c>
      <c r="D4" s="15">
        <v>41062.548695456833</v>
      </c>
      <c r="E4" s="15">
        <v>46302.265744524397</v>
      </c>
      <c r="F4" s="15">
        <v>7790.1882587947357</v>
      </c>
      <c r="G4" s="15">
        <v>16150.258018355742</v>
      </c>
      <c r="H4" s="15">
        <v>4354.7481210141541</v>
      </c>
      <c r="I4" s="13">
        <v>115660.00883814586</v>
      </c>
      <c r="J4" s="13"/>
      <c r="K4" s="12"/>
      <c r="L4" s="12" t="s">
        <v>98</v>
      </c>
    </row>
    <row r="5" spans="1:12" x14ac:dyDescent="0.3">
      <c r="A5" s="12">
        <v>2002</v>
      </c>
      <c r="B5" s="13">
        <v>120157.45233890542</v>
      </c>
      <c r="C5" s="15">
        <v>120157.45233890542</v>
      </c>
      <c r="D5" s="15">
        <v>41896.752190603351</v>
      </c>
      <c r="E5" s="15">
        <v>48096.974765502615</v>
      </c>
      <c r="F5" s="15">
        <v>8923.68578730636</v>
      </c>
      <c r="G5" s="15">
        <v>16761.745261413431</v>
      </c>
      <c r="H5" s="15">
        <v>4478.294334079661</v>
      </c>
      <c r="I5" s="13">
        <v>120157.45233890542</v>
      </c>
      <c r="J5" s="13"/>
      <c r="K5" s="12"/>
      <c r="L5" s="12" t="s">
        <v>99</v>
      </c>
    </row>
    <row r="6" spans="1:12" x14ac:dyDescent="0.3">
      <c r="A6" s="12">
        <v>2003</v>
      </c>
      <c r="B6" s="13">
        <v>124130.15614266656</v>
      </c>
      <c r="C6" s="15">
        <v>124130.15614266656</v>
      </c>
      <c r="D6" s="15">
        <v>42549.463791917398</v>
      </c>
      <c r="E6" s="15">
        <v>49557.385388012619</v>
      </c>
      <c r="F6" s="15">
        <v>9891.4697550038618</v>
      </c>
      <c r="G6" s="15">
        <v>17528.649755984396</v>
      </c>
      <c r="H6" s="15">
        <v>4603.1874517482638</v>
      </c>
      <c r="I6" s="13">
        <v>124130.15614266656</v>
      </c>
      <c r="J6" s="13"/>
      <c r="K6" s="12"/>
      <c r="L6" s="12" t="s">
        <v>100</v>
      </c>
    </row>
    <row r="7" spans="1:12" x14ac:dyDescent="0.3">
      <c r="A7" s="12">
        <v>2004</v>
      </c>
      <c r="B7" s="13">
        <v>128086.77539547354</v>
      </c>
      <c r="C7" s="15">
        <v>128086.77539547354</v>
      </c>
      <c r="D7" s="15">
        <v>42834.037882337492</v>
      </c>
      <c r="E7" s="15">
        <v>51404.666338584058</v>
      </c>
      <c r="F7" s="15">
        <v>10963.013092833282</v>
      </c>
      <c r="G7" s="15">
        <v>18150.015596101803</v>
      </c>
      <c r="H7" s="15">
        <v>4735.042485616882</v>
      </c>
      <c r="I7" s="13">
        <v>128086.77539547354</v>
      </c>
      <c r="J7" s="13"/>
      <c r="K7" s="12"/>
      <c r="L7" s="12" t="s">
        <v>86</v>
      </c>
    </row>
    <row r="8" spans="1:12" x14ac:dyDescent="0.3">
      <c r="A8" s="12">
        <v>2005</v>
      </c>
      <c r="B8" s="13">
        <v>131990.9830537817</v>
      </c>
      <c r="C8" s="15">
        <v>131990.9830537817</v>
      </c>
      <c r="D8" s="15">
        <v>43065.776499901396</v>
      </c>
      <c r="E8" s="15">
        <v>53255.106905834757</v>
      </c>
      <c r="F8" s="15">
        <v>11988.640174315962</v>
      </c>
      <c r="G8" s="15">
        <v>18778.074069546336</v>
      </c>
      <c r="H8" s="15">
        <v>4903.3854041832274</v>
      </c>
      <c r="I8" s="13">
        <v>131990.9830537817</v>
      </c>
      <c r="J8" s="13"/>
      <c r="K8" s="12"/>
      <c r="L8" s="12" t="s">
        <v>101</v>
      </c>
    </row>
    <row r="9" spans="1:12" x14ac:dyDescent="0.3">
      <c r="A9" s="12">
        <v>2006</v>
      </c>
      <c r="B9" s="13">
        <v>135686.09651635113</v>
      </c>
      <c r="C9" s="15">
        <v>135686.09651635113</v>
      </c>
      <c r="D9" s="15">
        <v>43202.927930994811</v>
      </c>
      <c r="E9" s="15">
        <v>55161.637717095204</v>
      </c>
      <c r="F9" s="15">
        <v>12910.634625418297</v>
      </c>
      <c r="G9" s="15">
        <v>19429.960357398078</v>
      </c>
      <c r="H9" s="15">
        <v>4980.9358854447537</v>
      </c>
      <c r="I9" s="13">
        <v>135686.09651635113</v>
      </c>
      <c r="J9" s="13"/>
      <c r="K9" s="12"/>
      <c r="L9" s="12" t="s">
        <v>102</v>
      </c>
    </row>
    <row r="10" spans="1:12" x14ac:dyDescent="0.3">
      <c r="A10" s="12">
        <v>2007</v>
      </c>
      <c r="B10" s="13">
        <v>139664.52977249981</v>
      </c>
      <c r="C10" s="15">
        <v>139664.52977249981</v>
      </c>
      <c r="D10" s="15">
        <v>43376.883648696516</v>
      </c>
      <c r="E10" s="15">
        <v>57115.476866305951</v>
      </c>
      <c r="F10" s="15">
        <v>13735.263490228128</v>
      </c>
      <c r="G10" s="15">
        <v>20370.076558450855</v>
      </c>
      <c r="H10" s="15">
        <v>5066.8292088183525</v>
      </c>
      <c r="I10" s="13">
        <v>139664.52977249981</v>
      </c>
      <c r="J10" s="13"/>
      <c r="K10" s="12"/>
      <c r="L10" s="12"/>
    </row>
    <row r="11" spans="1:12" x14ac:dyDescent="0.3">
      <c r="A11" s="12">
        <v>2008</v>
      </c>
      <c r="B11" s="13">
        <v>145348.37223879204</v>
      </c>
      <c r="C11" s="15">
        <v>145348.37223879204</v>
      </c>
      <c r="D11" s="15">
        <v>43527.99427924394</v>
      </c>
      <c r="E11" s="15">
        <v>59002.276533748984</v>
      </c>
      <c r="F11" s="15">
        <v>14534.639565612317</v>
      </c>
      <c r="G11" s="15">
        <v>23146.047177029232</v>
      </c>
      <c r="H11" s="15">
        <v>5137.4146831575845</v>
      </c>
      <c r="I11" s="13">
        <v>145348.37223879204</v>
      </c>
      <c r="J11" s="13"/>
      <c r="K11" s="12"/>
      <c r="L11" s="12"/>
    </row>
    <row r="12" spans="1:12" x14ac:dyDescent="0.3">
      <c r="A12" s="12">
        <v>2009</v>
      </c>
      <c r="B12" s="13">
        <v>149231.19504851344</v>
      </c>
      <c r="C12" s="15">
        <v>149231.19504851344</v>
      </c>
      <c r="D12" s="15">
        <v>43709.50324013878</v>
      </c>
      <c r="E12" s="15">
        <v>61119.409076122807</v>
      </c>
      <c r="F12" s="15">
        <v>15180.650516920663</v>
      </c>
      <c r="G12" s="15">
        <v>24016.571077481363</v>
      </c>
      <c r="H12" s="15">
        <v>5205.0611378498552</v>
      </c>
      <c r="I12" s="13">
        <v>149231.19504851344</v>
      </c>
      <c r="J12" s="13"/>
      <c r="K12" s="12"/>
      <c r="L12" s="12"/>
    </row>
    <row r="13" spans="1:12" x14ac:dyDescent="0.3">
      <c r="A13" s="12">
        <v>2010</v>
      </c>
      <c r="B13" s="13">
        <v>153657.18333854023</v>
      </c>
      <c r="C13" s="15">
        <v>153657.18333854023</v>
      </c>
      <c r="D13" s="15">
        <v>43888.05844162494</v>
      </c>
      <c r="E13" s="15">
        <v>63209.354649928238</v>
      </c>
      <c r="F13" s="15">
        <v>15816.369831775333</v>
      </c>
      <c r="G13" s="15">
        <v>25517.22098399169</v>
      </c>
      <c r="H13" s="15">
        <v>5226.1794312200245</v>
      </c>
      <c r="I13" s="13">
        <v>153657.18333854023</v>
      </c>
      <c r="J13" s="13"/>
      <c r="K13" s="12"/>
      <c r="L13" s="12"/>
    </row>
    <row r="14" spans="1:12" x14ac:dyDescent="0.3">
      <c r="A14" s="12">
        <v>2011</v>
      </c>
      <c r="B14" s="13">
        <v>158213.68421792871</v>
      </c>
      <c r="C14" s="15">
        <v>158213.68421792871</v>
      </c>
      <c r="D14" s="15">
        <v>44107.549713684653</v>
      </c>
      <c r="E14" s="15">
        <v>65518.226150630391</v>
      </c>
      <c r="F14" s="15">
        <v>16458.416818305945</v>
      </c>
      <c r="G14" s="15">
        <v>26860.024638386785</v>
      </c>
      <c r="H14" s="15">
        <v>5269.4668969209561</v>
      </c>
      <c r="I14" s="13">
        <v>158213.68421792871</v>
      </c>
      <c r="J14" s="13"/>
      <c r="K14" s="12"/>
      <c r="L14" s="12"/>
    </row>
    <row r="15" spans="1:12" x14ac:dyDescent="0.3">
      <c r="A15" s="12">
        <v>2012</v>
      </c>
      <c r="B15" s="13">
        <v>162771.81414311615</v>
      </c>
      <c r="C15" s="15">
        <v>162771.81414311615</v>
      </c>
      <c r="D15" s="15">
        <v>44291.295465713971</v>
      </c>
      <c r="E15" s="15">
        <v>67794.363791523283</v>
      </c>
      <c r="F15" s="15">
        <v>17120.975528196097</v>
      </c>
      <c r="G15" s="15">
        <v>28260.887807619572</v>
      </c>
      <c r="H15" s="15">
        <v>5304.2915500632062</v>
      </c>
      <c r="I15" s="13">
        <v>162771.81414311615</v>
      </c>
      <c r="J15" s="13"/>
      <c r="K15" s="12"/>
      <c r="L15" s="12"/>
    </row>
    <row r="16" spans="1:12" x14ac:dyDescent="0.3">
      <c r="A16" s="12">
        <v>2013</v>
      </c>
      <c r="B16" s="13">
        <v>167189.63098568676</v>
      </c>
      <c r="C16" s="15">
        <v>167189.63098568676</v>
      </c>
      <c r="D16" s="15">
        <v>44497.931009599328</v>
      </c>
      <c r="E16" s="15">
        <v>69844.795488052565</v>
      </c>
      <c r="F16" s="15">
        <v>17786.838490366812</v>
      </c>
      <c r="G16" s="15">
        <v>29688.396709989727</v>
      </c>
      <c r="H16" s="15">
        <v>5371.66928767831</v>
      </c>
      <c r="I16" s="13">
        <v>167189.63098568676</v>
      </c>
      <c r="J16" s="13"/>
      <c r="K16" s="12"/>
      <c r="L16" s="12"/>
    </row>
    <row r="17" spans="1:10" x14ac:dyDescent="0.3">
      <c r="A17" s="12">
        <v>2014</v>
      </c>
      <c r="B17" s="13">
        <v>171717.34174493951</v>
      </c>
      <c r="C17" s="15">
        <v>171717.34174493951</v>
      </c>
      <c r="D17" s="15">
        <v>44709.442616960601</v>
      </c>
      <c r="E17" s="15">
        <v>72023.026718391659</v>
      </c>
      <c r="F17" s="15">
        <v>18407.619563909451</v>
      </c>
      <c r="G17" s="15">
        <v>31132.957677617556</v>
      </c>
      <c r="H17" s="15">
        <v>5444.2951680602337</v>
      </c>
      <c r="I17" s="13">
        <v>171717.34174493951</v>
      </c>
      <c r="J17" s="13"/>
    </row>
    <row r="18" spans="1:10" x14ac:dyDescent="0.3">
      <c r="A18" s="12">
        <v>2015</v>
      </c>
      <c r="B18" s="13">
        <v>176513.45769997223</v>
      </c>
      <c r="C18" s="15">
        <v>176513.45769997223</v>
      </c>
      <c r="D18" s="15">
        <v>44853.156318110356</v>
      </c>
      <c r="E18" s="15">
        <v>74298.296380581363</v>
      </c>
      <c r="F18" s="15">
        <v>19064.143596192593</v>
      </c>
      <c r="G18" s="15">
        <v>32782.409874429926</v>
      </c>
      <c r="H18" s="15">
        <v>5515.4515306580124</v>
      </c>
      <c r="I18" s="13">
        <v>176513.45769997223</v>
      </c>
      <c r="J18" s="13"/>
    </row>
    <row r="19" spans="1:10" x14ac:dyDescent="0.3">
      <c r="A19" s="12">
        <v>2016</v>
      </c>
      <c r="B19" s="13">
        <v>180784.24786186186</v>
      </c>
      <c r="C19" s="15">
        <v>180784.24786186186</v>
      </c>
      <c r="D19" s="15">
        <v>44999.994389467443</v>
      </c>
      <c r="E19" s="15">
        <v>76420.312471173471</v>
      </c>
      <c r="F19" s="15">
        <v>19648.092917301692</v>
      </c>
      <c r="G19" s="15">
        <v>34246.452334764683</v>
      </c>
      <c r="H19" s="15">
        <v>5469.3957491545252</v>
      </c>
      <c r="I19" s="13">
        <v>180784.24786186186</v>
      </c>
      <c r="J19" s="13"/>
    </row>
    <row r="20" spans="1:10" x14ac:dyDescent="0.3">
      <c r="A20" s="12">
        <v>2017</v>
      </c>
      <c r="B20" s="13">
        <v>184902.61618128873</v>
      </c>
      <c r="C20" s="15">
        <v>184902.61618128873</v>
      </c>
      <c r="D20" s="15">
        <v>45121.205097873783</v>
      </c>
      <c r="E20" s="15">
        <v>78563.011352032438</v>
      </c>
      <c r="F20" s="15">
        <v>20243.217962182738</v>
      </c>
      <c r="G20" s="15">
        <v>35572.997983464353</v>
      </c>
      <c r="H20" s="15">
        <v>5402.183785735423</v>
      </c>
      <c r="I20" s="13">
        <v>184902.61618128873</v>
      </c>
      <c r="J20" s="13"/>
    </row>
    <row r="21" spans="1:10" x14ac:dyDescent="0.3">
      <c r="A21" s="12">
        <v>2018</v>
      </c>
      <c r="B21" s="13">
        <v>189193.08204717399</v>
      </c>
      <c r="C21" s="15">
        <v>189193.08204717399</v>
      </c>
      <c r="D21" s="15">
        <v>45269.927367808508</v>
      </c>
      <c r="E21" s="15">
        <v>80796.945398864977</v>
      </c>
      <c r="F21" s="15">
        <v>20919.806687501485</v>
      </c>
      <c r="G21" s="15">
        <v>36861.888938661359</v>
      </c>
      <c r="H21" s="15">
        <v>5344.5136543376839</v>
      </c>
      <c r="I21" s="13">
        <v>189193.08204717399</v>
      </c>
      <c r="J21" s="13"/>
    </row>
    <row r="22" spans="1:10" x14ac:dyDescent="0.3">
      <c r="A22" s="12">
        <v>2019</v>
      </c>
      <c r="B22" s="13">
        <v>192690.59016871438</v>
      </c>
      <c r="C22" s="15">
        <v>192690.59016871438</v>
      </c>
      <c r="D22" s="15">
        <v>45322.022038218143</v>
      </c>
      <c r="E22" s="15">
        <v>82255.69786504787</v>
      </c>
      <c r="F22" s="15">
        <v>21564.621889420763</v>
      </c>
      <c r="G22" s="15">
        <v>38266.241776335424</v>
      </c>
      <c r="H22" s="15">
        <v>5282.0065996922121</v>
      </c>
      <c r="I22" s="13">
        <v>192690.59016871438</v>
      </c>
      <c r="J22" s="13"/>
    </row>
    <row r="23" spans="1:10" x14ac:dyDescent="0.3">
      <c r="A23" s="12">
        <v>2020</v>
      </c>
      <c r="B23" s="13">
        <v>196153.92619552091</v>
      </c>
      <c r="C23" s="15">
        <v>196153.92619552091</v>
      </c>
      <c r="D23" s="15">
        <v>45411.215510978946</v>
      </c>
      <c r="E23" s="15">
        <v>83129.363062797187</v>
      </c>
      <c r="F23" s="15">
        <v>22190.695885088593</v>
      </c>
      <c r="G23" s="15">
        <v>40173.831751414466</v>
      </c>
      <c r="H23" s="15">
        <v>5248.8199852416947</v>
      </c>
      <c r="I23" s="13">
        <v>196153.92619552091</v>
      </c>
      <c r="J23" s="13"/>
    </row>
    <row r="24" spans="1:10" x14ac:dyDescent="0.3">
      <c r="A24" s="12">
        <v>2021</v>
      </c>
      <c r="B24" s="13">
        <v>199238.37196078812</v>
      </c>
      <c r="C24" s="15">
        <v>199238.37196078812</v>
      </c>
      <c r="D24" s="15">
        <v>45560.21167103936</v>
      </c>
      <c r="E24" s="15">
        <v>84280.962665077095</v>
      </c>
      <c r="F24" s="15">
        <v>22771.11889917669</v>
      </c>
      <c r="G24" s="15">
        <v>41459.03892959169</v>
      </c>
      <c r="H24" s="15">
        <v>5167.0397959032907</v>
      </c>
      <c r="I24" s="13">
        <v>199238.37196078812</v>
      </c>
      <c r="J24" s="13"/>
    </row>
    <row r="25" spans="1:10" x14ac:dyDescent="0.3">
      <c r="A25" s="12">
        <v>2022</v>
      </c>
      <c r="B25" s="13">
        <v>202083.44602277121</v>
      </c>
      <c r="C25" s="15">
        <v>202083.44602277121</v>
      </c>
      <c r="D25" s="15">
        <v>45770.590291639979</v>
      </c>
      <c r="E25" s="15">
        <v>85365.390803967326</v>
      </c>
      <c r="F25" s="15">
        <v>23240.826622336132</v>
      </c>
      <c r="G25" s="15">
        <v>42611.214871580596</v>
      </c>
      <c r="H25" s="15">
        <v>5095.4234332471615</v>
      </c>
      <c r="I25" s="13">
        <v>202083.44602277121</v>
      </c>
      <c r="J25" s="13"/>
    </row>
    <row r="26" spans="1:10" x14ac:dyDescent="0.3">
      <c r="A26" s="12">
        <v>2023</v>
      </c>
      <c r="B26" s="13">
        <v>205411.26829389151</v>
      </c>
      <c r="C26" s="15">
        <v>205411.26829389151</v>
      </c>
      <c r="D26" s="15">
        <v>46041.853118678286</v>
      </c>
      <c r="E26" s="15">
        <v>86427.807446050167</v>
      </c>
      <c r="F26" s="15">
        <v>23831.000808823028</v>
      </c>
      <c r="G26" s="15">
        <v>44055.743628264689</v>
      </c>
      <c r="H26" s="15">
        <v>5054.8632920753553</v>
      </c>
      <c r="I26" s="13">
        <v>205411.26829389151</v>
      </c>
      <c r="J26" s="13"/>
    </row>
    <row r="27" spans="1:10" x14ac:dyDescent="0.3">
      <c r="A27" s="12">
        <v>2024</v>
      </c>
      <c r="B27" s="13">
        <v>209007.89619907501</v>
      </c>
      <c r="C27" s="15">
        <v>209006.03878207027</v>
      </c>
      <c r="D27" s="15">
        <v>46400.140104965161</v>
      </c>
      <c r="E27" s="15">
        <v>87580.546499540957</v>
      </c>
      <c r="F27" s="15">
        <v>24494.257389898074</v>
      </c>
      <c r="G27" s="15">
        <v>45494.019386707958</v>
      </c>
      <c r="H27" s="15">
        <v>5037.0754009581624</v>
      </c>
      <c r="I27" s="13">
        <v>209008.20155325701</v>
      </c>
      <c r="J27" s="13"/>
    </row>
    <row r="28" spans="1:10" x14ac:dyDescent="0.3">
      <c r="A28" s="12">
        <v>2025</v>
      </c>
      <c r="B28" s="13">
        <v>212451.48425669008</v>
      </c>
      <c r="C28" s="15">
        <v>212576.95144322616</v>
      </c>
      <c r="D28" s="15">
        <v>46684.324573103164</v>
      </c>
      <c r="E28" s="15">
        <v>88728.592752720928</v>
      </c>
      <c r="F28" s="15">
        <v>25187.21429576409</v>
      </c>
      <c r="G28" s="15">
        <v>46953.21020535296</v>
      </c>
      <c r="H28" s="15">
        <v>5023.6096162850263</v>
      </c>
      <c r="I28" s="13">
        <v>212606.94259985612</v>
      </c>
      <c r="J28" s="13"/>
    </row>
    <row r="29" spans="1:10" x14ac:dyDescent="0.3">
      <c r="A29" s="12">
        <v>2026</v>
      </c>
      <c r="B29" s="13">
        <v>215774.72379699987</v>
      </c>
      <c r="C29" s="15">
        <v>216145.70336785287</v>
      </c>
      <c r="D29" s="15">
        <v>46997.548846961618</v>
      </c>
      <c r="E29" s="15">
        <v>89911.523835760454</v>
      </c>
      <c r="F29" s="15">
        <v>25873.476383674657</v>
      </c>
      <c r="G29" s="15">
        <v>48349.420213499834</v>
      </c>
      <c r="H29" s="15">
        <v>5013.7340879563153</v>
      </c>
      <c r="I29" s="13">
        <v>216230.13411242687</v>
      </c>
      <c r="J29" s="13"/>
    </row>
    <row r="30" spans="1:10" x14ac:dyDescent="0.3">
      <c r="A30" s="12">
        <v>2027</v>
      </c>
      <c r="B30" s="13">
        <v>219005.37569389777</v>
      </c>
      <c r="C30" s="15">
        <v>219720.66855645715</v>
      </c>
      <c r="D30" s="15">
        <v>47274.646148960972</v>
      </c>
      <c r="E30" s="15">
        <v>91154.060204651847</v>
      </c>
      <c r="F30" s="15">
        <v>26531.42001075701</v>
      </c>
      <c r="G30" s="15">
        <v>49710.280417493806</v>
      </c>
      <c r="H30" s="15">
        <v>5050.261774593504</v>
      </c>
      <c r="I30" s="13">
        <v>219884.02128449912</v>
      </c>
      <c r="J30" s="13"/>
    </row>
    <row r="31" spans="1:10" x14ac:dyDescent="0.3">
      <c r="A31" s="12">
        <v>2028</v>
      </c>
      <c r="B31" s="13">
        <v>222289.67296150961</v>
      </c>
      <c r="C31" s="15">
        <v>223424.56356068488</v>
      </c>
      <c r="D31" s="15">
        <v>47605.554723646899</v>
      </c>
      <c r="E31" s="15">
        <v>92438.949745669772</v>
      </c>
      <c r="F31" s="15">
        <v>27158.191346547712</v>
      </c>
      <c r="G31" s="15">
        <v>51100.437126248115</v>
      </c>
      <c r="H31" s="15">
        <v>5121.4306185723608</v>
      </c>
      <c r="I31" s="13">
        <v>223702.41970358859</v>
      </c>
      <c r="J31" s="13"/>
    </row>
    <row r="32" spans="1:10" x14ac:dyDescent="0.3">
      <c r="A32" s="12">
        <v>2029</v>
      </c>
      <c r="B32" s="13">
        <v>225599.65632361762</v>
      </c>
      <c r="C32" s="15">
        <v>227219.77561873221</v>
      </c>
      <c r="D32" s="15">
        <v>47975.465663619878</v>
      </c>
      <c r="E32" s="15">
        <v>93739.577337437688</v>
      </c>
      <c r="F32" s="15">
        <v>27797.669464829898</v>
      </c>
      <c r="G32" s="15">
        <v>52504.818956763527</v>
      </c>
      <c r="H32" s="15">
        <v>5202.2441960812421</v>
      </c>
      <c r="I32" s="13">
        <v>227660.06250456761</v>
      </c>
      <c r="J32" s="13"/>
    </row>
    <row r="33" spans="1:10" x14ac:dyDescent="0.3">
      <c r="A33" s="12">
        <v>2030</v>
      </c>
      <c r="B33" s="13">
        <v>228698.77320446589</v>
      </c>
      <c r="C33" s="15">
        <v>230861.01147602801</v>
      </c>
      <c r="D33" s="15">
        <v>48311.860836107822</v>
      </c>
      <c r="E33" s="15">
        <v>95009.010327795055</v>
      </c>
      <c r="F33" s="15">
        <v>28445.184565459876</v>
      </c>
      <c r="G33" s="15">
        <v>53906.208735273365</v>
      </c>
      <c r="H33" s="15">
        <v>5188.7470113919198</v>
      </c>
      <c r="I33" s="13">
        <v>231920.29876875953</v>
      </c>
      <c r="J33" s="13"/>
    </row>
    <row r="34" spans="1:10" x14ac:dyDescent="0.3">
      <c r="A34" s="12">
        <v>2031</v>
      </c>
      <c r="B34" s="13">
        <v>231656.38092145463</v>
      </c>
      <c r="C34" s="15">
        <v>234422.78416373453</v>
      </c>
      <c r="D34" s="15">
        <v>48617.756677021222</v>
      </c>
      <c r="E34" s="15">
        <v>96235.229348330773</v>
      </c>
      <c r="F34" s="15">
        <v>29095.82525686151</v>
      </c>
      <c r="G34" s="15">
        <v>55294.127052067939</v>
      </c>
      <c r="H34" s="15">
        <v>5179.8458294530446</v>
      </c>
      <c r="I34" s="13">
        <v>236552.13057262526</v>
      </c>
      <c r="J34" s="13"/>
    </row>
    <row r="35" spans="1:10" x14ac:dyDescent="0.3">
      <c r="A35" s="12">
        <v>2032</v>
      </c>
      <c r="B35" s="13">
        <v>234419.18690766621</v>
      </c>
      <c r="C35" s="15">
        <v>237839.61071703042</v>
      </c>
      <c r="D35" s="15">
        <v>48857.631332618956</v>
      </c>
      <c r="E35" s="15">
        <v>97392.620702735861</v>
      </c>
      <c r="F35" s="15">
        <v>29747.590272655045</v>
      </c>
      <c r="G35" s="15">
        <v>56665.328208007544</v>
      </c>
      <c r="H35" s="15">
        <v>5176.4402010129907</v>
      </c>
      <c r="I35" s="13">
        <v>241429.20532277282</v>
      </c>
      <c r="J35" s="13"/>
    </row>
    <row r="36" spans="1:10" x14ac:dyDescent="0.3">
      <c r="A36" s="12">
        <v>2033</v>
      </c>
      <c r="B36" s="13">
        <v>237008.94019735989</v>
      </c>
      <c r="C36" s="15">
        <v>241123.4752183024</v>
      </c>
      <c r="D36" s="15">
        <v>49048.759760848625</v>
      </c>
      <c r="E36" s="15">
        <v>98485.917129105612</v>
      </c>
      <c r="F36" s="15">
        <v>30398.024945901314</v>
      </c>
      <c r="G36" s="15">
        <v>58010.634937033283</v>
      </c>
      <c r="H36" s="15">
        <v>5180.1384454135468</v>
      </c>
      <c r="I36" s="13">
        <v>246466.95210099401</v>
      </c>
      <c r="J36" s="13"/>
    </row>
    <row r="37" spans="1:10" x14ac:dyDescent="0.3">
      <c r="A37" s="12">
        <v>2034</v>
      </c>
      <c r="B37" s="13">
        <v>239351.7879477173</v>
      </c>
      <c r="C37" s="15">
        <v>244190.22292843816</v>
      </c>
      <c r="D37" s="15">
        <v>49149.119140576273</v>
      </c>
      <c r="E37" s="15">
        <v>99488.89669525763</v>
      </c>
      <c r="F37" s="15">
        <v>31041.481865327591</v>
      </c>
      <c r="G37" s="15">
        <v>59320.396005572424</v>
      </c>
      <c r="H37" s="15">
        <v>5190.3292217042563</v>
      </c>
      <c r="I37" s="13">
        <v>251493.66894626367</v>
      </c>
      <c r="J37" s="13"/>
    </row>
    <row r="38" spans="1:10" x14ac:dyDescent="0.3">
      <c r="A38" s="12">
        <v>2035</v>
      </c>
      <c r="B38" s="13">
        <v>241409.5967185288</v>
      </c>
      <c r="C38" s="15">
        <v>247013.01073073875</v>
      </c>
      <c r="D38" s="15">
        <v>49147.870846335391</v>
      </c>
      <c r="E38" s="15">
        <v>100388.5262087645</v>
      </c>
      <c r="F38" s="15">
        <v>31675.961022413416</v>
      </c>
      <c r="G38" s="15">
        <v>60593.370970384363</v>
      </c>
      <c r="H38" s="15">
        <v>5207.2816828411133</v>
      </c>
      <c r="I38" s="13">
        <v>256400.31610777101</v>
      </c>
      <c r="J38" s="13"/>
    </row>
    <row r="39" spans="1:10" x14ac:dyDescent="0.3">
      <c r="A39" s="12">
        <v>2036</v>
      </c>
      <c r="B39" s="13">
        <v>243155.81429558949</v>
      </c>
      <c r="C39" s="15">
        <v>249551.21098314456</v>
      </c>
      <c r="D39" s="15">
        <v>49041.103897113193</v>
      </c>
      <c r="E39" s="15">
        <v>101175.30460988576</v>
      </c>
      <c r="F39" s="15">
        <v>32293.503055030724</v>
      </c>
      <c r="G39" s="15">
        <v>61812.497395601989</v>
      </c>
      <c r="H39" s="15">
        <v>5228.8020255128995</v>
      </c>
      <c r="I39" s="13">
        <v>261114.50083399386</v>
      </c>
      <c r="J39" s="13"/>
    </row>
    <row r="40" spans="1:10" x14ac:dyDescent="0.3">
      <c r="A40" s="12">
        <v>2037</v>
      </c>
      <c r="B40" s="13">
        <v>244565.15001644508</v>
      </c>
      <c r="C40" s="15">
        <v>251789.49927161005</v>
      </c>
      <c r="D40" s="15">
        <v>48826.64798652492</v>
      </c>
      <c r="E40" s="15">
        <v>101845.32154201248</v>
      </c>
      <c r="F40" s="15">
        <v>32891.020038066839</v>
      </c>
      <c r="G40" s="15">
        <v>62972.466788352147</v>
      </c>
      <c r="H40" s="15">
        <v>5254.0429166536787</v>
      </c>
      <c r="I40" s="13">
        <v>265559.86644590087</v>
      </c>
      <c r="J40" s="13"/>
    </row>
    <row r="41" spans="1:10" x14ac:dyDescent="0.3">
      <c r="A41" s="12">
        <v>2038</v>
      </c>
      <c r="B41" s="13">
        <v>245677.76320712129</v>
      </c>
      <c r="C41" s="15">
        <v>253757.31666743851</v>
      </c>
      <c r="D41" s="15">
        <v>48538.770646355275</v>
      </c>
      <c r="E41" s="15">
        <v>102420.03982113375</v>
      </c>
      <c r="F41" s="15">
        <v>33459.497216976968</v>
      </c>
      <c r="G41" s="15">
        <v>64056.154827155951</v>
      </c>
      <c r="H41" s="15">
        <v>5282.8541558165616</v>
      </c>
      <c r="I41" s="13">
        <v>269752.70495595189</v>
      </c>
      <c r="J41" s="13"/>
    </row>
    <row r="42" spans="1:10" x14ac:dyDescent="0.3">
      <c r="A42" s="12">
        <v>2039</v>
      </c>
      <c r="B42" s="13">
        <v>246649.09096995328</v>
      </c>
      <c r="C42" s="15">
        <v>255604.85648121624</v>
      </c>
      <c r="D42" s="15">
        <v>48284.401639537478</v>
      </c>
      <c r="E42" s="15">
        <v>102968.25904948977</v>
      </c>
      <c r="F42" s="15">
        <v>33990.912855046037</v>
      </c>
      <c r="G42" s="15">
        <v>65047.360679888145</v>
      </c>
      <c r="H42" s="15">
        <v>5313.9222572548069</v>
      </c>
      <c r="I42" s="13">
        <v>273820.93523583963</v>
      </c>
      <c r="J42" s="13"/>
    </row>
    <row r="43" spans="1:10" x14ac:dyDescent="0.3">
      <c r="A43" s="12">
        <v>2040</v>
      </c>
      <c r="B43" s="13">
        <v>247599.06977858313</v>
      </c>
      <c r="C43" s="15">
        <v>257449.38974489729</v>
      </c>
      <c r="D43" s="15">
        <v>48153.38648699168</v>
      </c>
      <c r="E43" s="15">
        <v>103533.71579788536</v>
      </c>
      <c r="F43" s="15">
        <v>34480.435619097298</v>
      </c>
      <c r="G43" s="15">
        <v>65937.010987167072</v>
      </c>
      <c r="H43" s="15">
        <v>5344.8408537558917</v>
      </c>
      <c r="I43" s="13">
        <v>278028.08449425362</v>
      </c>
      <c r="J43" s="13"/>
    </row>
    <row r="44" spans="1:10" x14ac:dyDescent="0.3">
      <c r="A44" s="12">
        <v>2041</v>
      </c>
      <c r="B44" s="13">
        <v>248111.57690263161</v>
      </c>
      <c r="C44" s="15">
        <v>258872.00433455221</v>
      </c>
      <c r="D44" s="15">
        <v>47881.39357026069</v>
      </c>
      <c r="E44" s="15">
        <v>103979.42278334939</v>
      </c>
      <c r="F44" s="15">
        <v>34921.876888726576</v>
      </c>
      <c r="G44" s="15">
        <v>66714.675266688675</v>
      </c>
      <c r="H44" s="15">
        <v>5374.6358255268906</v>
      </c>
      <c r="I44" s="13">
        <v>281308.09564513445</v>
      </c>
      <c r="J44" s="13"/>
    </row>
    <row r="45" spans="1:10" x14ac:dyDescent="0.3">
      <c r="A45" s="12">
        <v>2042</v>
      </c>
      <c r="B45" s="13">
        <v>248307.22112987706</v>
      </c>
      <c r="C45" s="15">
        <v>259990.61447120589</v>
      </c>
      <c r="D45" s="15">
        <v>47542.376151257187</v>
      </c>
      <c r="E45" s="15">
        <v>104339.79960787133</v>
      </c>
      <c r="F45" s="15">
        <v>35318.161089842302</v>
      </c>
      <c r="G45" s="15">
        <v>67388.415916023281</v>
      </c>
      <c r="H45" s="15">
        <v>5401.8617062117955</v>
      </c>
      <c r="I45" s="13">
        <v>284220.24641196965</v>
      </c>
      <c r="J45" s="13"/>
    </row>
    <row r="46" spans="1:10" x14ac:dyDescent="0.3">
      <c r="A46" s="12">
        <v>2043</v>
      </c>
      <c r="B46" s="13">
        <v>248366.04905443647</v>
      </c>
      <c r="C46" s="15">
        <v>260967.69966275239</v>
      </c>
      <c r="D46" s="15">
        <v>47222.708856867917</v>
      </c>
      <c r="E46" s="15">
        <v>104666.33048421436</v>
      </c>
      <c r="F46" s="15">
        <v>35675.316534363868</v>
      </c>
      <c r="G46" s="15">
        <v>67976.649034282134</v>
      </c>
      <c r="H46" s="15">
        <v>5426.6947530241241</v>
      </c>
      <c r="I46" s="13">
        <v>286935.25028627674</v>
      </c>
      <c r="J46" s="13"/>
    </row>
    <row r="47" spans="1:10" x14ac:dyDescent="0.3">
      <c r="A47" s="12">
        <v>2044</v>
      </c>
      <c r="B47" s="13">
        <v>248320.4534527754</v>
      </c>
      <c r="C47" s="15">
        <v>261803.2671077101</v>
      </c>
      <c r="D47" s="15">
        <v>46923.085436060486</v>
      </c>
      <c r="E47" s="15">
        <v>104965.96811653452</v>
      </c>
      <c r="F47" s="15">
        <v>35990.619140260293</v>
      </c>
      <c r="G47" s="15">
        <v>68475.154742482249</v>
      </c>
      <c r="H47" s="15">
        <v>5448.4396723725094</v>
      </c>
      <c r="I47" s="13">
        <v>289450.84192461218</v>
      </c>
      <c r="J47" s="13"/>
    </row>
    <row r="48" spans="1:10" x14ac:dyDescent="0.3">
      <c r="A48" s="12">
        <v>2045</v>
      </c>
      <c r="B48" s="13">
        <v>248166.81387929953</v>
      </c>
      <c r="C48" s="15">
        <v>262456.2075317874</v>
      </c>
      <c r="D48" s="15">
        <v>46639.545929224951</v>
      </c>
      <c r="E48" s="15">
        <v>105238.69590550409</v>
      </c>
      <c r="F48" s="15">
        <v>36252.356733235916</v>
      </c>
      <c r="G48" s="15">
        <v>68858.079170223849</v>
      </c>
      <c r="H48" s="15">
        <v>5467.52979359861</v>
      </c>
      <c r="I48" s="13">
        <v>291734.15340445377</v>
      </c>
      <c r="J48" s="13"/>
    </row>
    <row r="49" spans="1:10" x14ac:dyDescent="0.3">
      <c r="A49" s="12">
        <v>2046</v>
      </c>
      <c r="B49" s="13">
        <v>247902.73797675542</v>
      </c>
      <c r="C49" s="15">
        <v>262946.88404614804</v>
      </c>
      <c r="D49" s="15">
        <v>46369.340209875954</v>
      </c>
      <c r="E49" s="15">
        <v>105485.03732376415</v>
      </c>
      <c r="F49" s="15">
        <v>36467.193023446358</v>
      </c>
      <c r="G49" s="15">
        <v>69143.09187641782</v>
      </c>
      <c r="H49" s="15">
        <v>5482.2216126437506</v>
      </c>
      <c r="I49" s="13">
        <v>293806.20618739462</v>
      </c>
      <c r="J49" s="13"/>
    </row>
    <row r="50" spans="1:10" x14ac:dyDescent="0.3">
      <c r="A50" s="12">
        <v>2047</v>
      </c>
      <c r="B50" s="13">
        <v>247537.36784074502</v>
      </c>
      <c r="C50" s="15">
        <v>263293.43108566763</v>
      </c>
      <c r="D50" s="15">
        <v>46110.629765369711</v>
      </c>
      <c r="E50" s="15">
        <v>105706.52220884082</v>
      </c>
      <c r="F50" s="15">
        <v>36639.92571537575</v>
      </c>
      <c r="G50" s="15">
        <v>69342.783276869261</v>
      </c>
      <c r="H50" s="15">
        <v>5493.570119212116</v>
      </c>
      <c r="I50" s="13">
        <v>295681.21584711497</v>
      </c>
      <c r="J50" s="13"/>
    </row>
    <row r="51" spans="1:10" x14ac:dyDescent="0.3">
      <c r="A51" s="12">
        <v>2048</v>
      </c>
      <c r="B51" s="13">
        <v>247084.40121748761</v>
      </c>
      <c r="C51" s="15">
        <v>263510.77490786184</v>
      </c>
      <c r="D51" s="15">
        <v>45861.677413256948</v>
      </c>
      <c r="E51" s="15">
        <v>105906.60868322177</v>
      </c>
      <c r="F51" s="15">
        <v>36774.697900227882</v>
      </c>
      <c r="G51" s="15">
        <v>69468.233319302919</v>
      </c>
      <c r="H51" s="15">
        <v>5499.5575918523036</v>
      </c>
      <c r="I51" s="13">
        <v>297383.720108977</v>
      </c>
      <c r="J51" s="13"/>
    </row>
    <row r="52" spans="1:10" x14ac:dyDescent="0.3">
      <c r="A52" s="12">
        <v>2049</v>
      </c>
      <c r="B52" s="13">
        <v>246560.14854000317</v>
      </c>
      <c r="C52" s="15">
        <v>263610.08563724166</v>
      </c>
      <c r="D52" s="15">
        <v>45623.681192458775</v>
      </c>
      <c r="E52" s="15">
        <v>106083.62961853821</v>
      </c>
      <c r="F52" s="15">
        <v>36873.543312943024</v>
      </c>
      <c r="G52" s="15">
        <v>69528.013818086038</v>
      </c>
      <c r="H52" s="15">
        <v>5501.2176952156096</v>
      </c>
      <c r="I52" s="13">
        <v>298931.8291378328</v>
      </c>
      <c r="J52" s="13"/>
    </row>
    <row r="53" spans="1:10" x14ac:dyDescent="0.3">
      <c r="A53" s="12">
        <v>2050</v>
      </c>
      <c r="B53" s="13">
        <v>245982.88492013467</v>
      </c>
      <c r="C53" s="15">
        <v>263624.49806830508</v>
      </c>
      <c r="D53" s="15">
        <v>45398.872965260496</v>
      </c>
      <c r="E53" s="15">
        <v>106244.61769978536</v>
      </c>
      <c r="F53" s="15">
        <v>36943.871826846691</v>
      </c>
      <c r="G53" s="15">
        <v>69537.509082260105</v>
      </c>
      <c r="H53" s="15">
        <v>5499.6264941524641</v>
      </c>
      <c r="I53" s="13">
        <v>300346.14869705436</v>
      </c>
      <c r="J53" s="13"/>
    </row>
    <row r="54" spans="1:10" x14ac:dyDescent="0.3">
      <c r="A54" s="12">
        <v>2051</v>
      </c>
      <c r="B54" s="13">
        <v>245364.9184597386</v>
      </c>
      <c r="C54" s="15">
        <v>263586.00462294114</v>
      </c>
      <c r="D54" s="15">
        <v>45189.830692392658</v>
      </c>
      <c r="E54" s="15">
        <v>106395.11073256856</v>
      </c>
      <c r="F54" s="15">
        <v>36991.887980379339</v>
      </c>
      <c r="G54" s="15">
        <v>69513.321112631427</v>
      </c>
      <c r="H54" s="15">
        <v>5495.8541049691758</v>
      </c>
      <c r="I54" s="13">
        <v>301657.99335221719</v>
      </c>
      <c r="J54" s="13"/>
    </row>
    <row r="55" spans="1:10" x14ac:dyDescent="0.3">
      <c r="A55" s="12">
        <v>2052</v>
      </c>
      <c r="B55" s="13">
        <v>244716.66009709099</v>
      </c>
      <c r="C55" s="15">
        <v>263527.4082466783</v>
      </c>
      <c r="D55" s="15">
        <v>44999.751775776749</v>
      </c>
      <c r="E55" s="15">
        <v>106540.46614768871</v>
      </c>
      <c r="F55" s="15">
        <v>37024.731767803853</v>
      </c>
      <c r="G55" s="15">
        <v>69472.055774304186</v>
      </c>
      <c r="H55" s="15">
        <v>5490.4027811047899</v>
      </c>
      <c r="I55" s="13">
        <v>302894.95306863432</v>
      </c>
      <c r="J55" s="13"/>
    </row>
    <row r="56" spans="1:10" x14ac:dyDescent="0.3">
      <c r="A56" s="12">
        <v>2053</v>
      </c>
      <c r="B56" s="13">
        <v>244042.39325605618</v>
      </c>
      <c r="C56" s="15">
        <v>263476.74692097376</v>
      </c>
      <c r="D56" s="15">
        <v>44829.325353442997</v>
      </c>
      <c r="E56" s="15">
        <v>106682.56822924325</v>
      </c>
      <c r="F56" s="15">
        <v>37049.660440725384</v>
      </c>
      <c r="G56" s="15">
        <v>69431.394919873535</v>
      </c>
      <c r="H56" s="15">
        <v>5483.7979776886195</v>
      </c>
      <c r="I56" s="13">
        <v>304082.73461478506</v>
      </c>
      <c r="J56" s="13"/>
    </row>
    <row r="57" spans="1:10" x14ac:dyDescent="0.3">
      <c r="A57" s="12">
        <v>2054</v>
      </c>
      <c r="B57" s="13">
        <v>243349.81090168093</v>
      </c>
      <c r="C57" s="15">
        <v>263456.2086230045</v>
      </c>
      <c r="D57" s="15">
        <v>44681.559448551598</v>
      </c>
      <c r="E57" s="15">
        <v>106824.10871914329</v>
      </c>
      <c r="F57" s="15">
        <v>37069.848749083467</v>
      </c>
      <c r="G57" s="15">
        <v>69403.44791549095</v>
      </c>
      <c r="H57" s="15">
        <v>5477.2437907352287</v>
      </c>
      <c r="I57" s="13">
        <v>305238.71836932335</v>
      </c>
      <c r="J57" s="13"/>
    </row>
    <row r="58" spans="1:10" x14ac:dyDescent="0.3">
      <c r="A58" s="12">
        <v>2055</v>
      </c>
      <c r="B58" s="13">
        <v>242645.43686316503</v>
      </c>
      <c r="C58" s="15">
        <v>263454.94612868642</v>
      </c>
      <c r="D58" s="15">
        <v>44555.45029962359</v>
      </c>
      <c r="E58" s="15">
        <v>106964.52950064029</v>
      </c>
      <c r="F58" s="15">
        <v>37083.380453272592</v>
      </c>
      <c r="G58" s="15">
        <v>69380.375489960861</v>
      </c>
      <c r="H58" s="15">
        <v>5471.2103851890806</v>
      </c>
      <c r="I58" s="13">
        <v>306361.00261593983</v>
      </c>
      <c r="J58" s="13"/>
    </row>
    <row r="59" spans="1:10" x14ac:dyDescent="0.3">
      <c r="A59" s="12">
        <v>2056</v>
      </c>
      <c r="B59" s="13">
        <v>241931.5567695112</v>
      </c>
      <c r="C59" s="15">
        <v>263446.89043107571</v>
      </c>
      <c r="D59" s="15">
        <v>44452.459616220913</v>
      </c>
      <c r="E59" s="15">
        <v>107102.33622609264</v>
      </c>
      <c r="F59" s="15">
        <v>37083.403177302076</v>
      </c>
      <c r="G59" s="15">
        <v>69343.640484939504</v>
      </c>
      <c r="H59" s="15">
        <v>5465.0509265206001</v>
      </c>
      <c r="I59" s="13">
        <v>307417.72198986978</v>
      </c>
      <c r="J59" s="13"/>
    </row>
    <row r="60" spans="1:10" x14ac:dyDescent="0.3">
      <c r="A60" s="12">
        <v>2057</v>
      </c>
      <c r="B60" s="13">
        <v>241212.36424522972</v>
      </c>
      <c r="C60" s="15">
        <v>263458.84733658726</v>
      </c>
      <c r="D60" s="15">
        <v>44370.198728418494</v>
      </c>
      <c r="E60" s="15">
        <v>107236.06725020899</v>
      </c>
      <c r="F60" s="15">
        <v>37079.238597647251</v>
      </c>
      <c r="G60" s="15">
        <v>69314.140067301938</v>
      </c>
      <c r="H60" s="15">
        <v>5459.202693010544</v>
      </c>
      <c r="I60" s="13">
        <v>308457.62572720391</v>
      </c>
      <c r="J60" s="13"/>
    </row>
    <row r="61" spans="1:10" x14ac:dyDescent="0.3">
      <c r="A61" s="12">
        <v>2058</v>
      </c>
      <c r="B61" s="13">
        <v>240487.16502937328</v>
      </c>
      <c r="C61" s="15">
        <v>263499.63951423828</v>
      </c>
      <c r="D61" s="15">
        <v>44305.665367626869</v>
      </c>
      <c r="E61" s="15">
        <v>107366.46869186506</v>
      </c>
      <c r="F61" s="15">
        <v>37076.175305956276</v>
      </c>
      <c r="G61" s="15">
        <v>69296.172718629008</v>
      </c>
      <c r="H61" s="15">
        <v>5455.1574301610808</v>
      </c>
      <c r="I61" s="13">
        <v>309489.75014662312</v>
      </c>
      <c r="J61" s="13"/>
    </row>
    <row r="62" spans="1:10" x14ac:dyDescent="0.3">
      <c r="A62" s="12">
        <v>2059</v>
      </c>
      <c r="B62" s="13">
        <v>239759.44215549825</v>
      </c>
      <c r="C62" s="15">
        <v>263564.95324125158</v>
      </c>
      <c r="D62" s="15">
        <v>44259.225882233004</v>
      </c>
      <c r="E62" s="15">
        <v>107491.99572006041</v>
      </c>
      <c r="F62" s="15">
        <v>37073.833544545851</v>
      </c>
      <c r="G62" s="15">
        <v>69287.382870350339</v>
      </c>
      <c r="H62" s="15">
        <v>5452.5152240619782</v>
      </c>
      <c r="I62" s="13">
        <v>310512.66365932173</v>
      </c>
      <c r="J62" s="13"/>
    </row>
    <row r="63" spans="1:10" x14ac:dyDescent="0.3">
      <c r="A63" s="12">
        <v>2060</v>
      </c>
      <c r="B63" s="13">
        <v>239024.40597282082</v>
      </c>
      <c r="C63" s="15">
        <v>263644.77502122615</v>
      </c>
      <c r="D63" s="15">
        <v>44225.063224001111</v>
      </c>
      <c r="E63" s="15">
        <v>107610.26322109712</v>
      </c>
      <c r="F63" s="15">
        <v>37073.209702762979</v>
      </c>
      <c r="G63" s="15">
        <v>69285.33274007283</v>
      </c>
      <c r="H63" s="15">
        <v>5450.906133292111</v>
      </c>
      <c r="I63" s="13">
        <v>311517.40469265042</v>
      </c>
      <c r="J63" s="13"/>
    </row>
    <row r="64" spans="1:10" x14ac:dyDescent="0.3">
      <c r="A64" s="12">
        <v>2061</v>
      </c>
      <c r="B64" s="13">
        <v>238278.9839066237</v>
      </c>
      <c r="C64" s="15">
        <v>263731.67829096096</v>
      </c>
      <c r="D64" s="15">
        <v>44198.968356798934</v>
      </c>
      <c r="E64" s="15">
        <v>107718.00803567431</v>
      </c>
      <c r="F64" s="15">
        <v>37074.373441486867</v>
      </c>
      <c r="G64" s="15">
        <v>69289.48247516308</v>
      </c>
      <c r="H64" s="15">
        <v>5450.8459818377596</v>
      </c>
      <c r="I64" s="13">
        <v>312502.25339248695</v>
      </c>
      <c r="J64" s="13"/>
    </row>
    <row r="65" spans="1:10" x14ac:dyDescent="0.3">
      <c r="A65" s="12">
        <v>2062</v>
      </c>
      <c r="B65" s="13">
        <v>237516.73174177075</v>
      </c>
      <c r="C65" s="15">
        <v>263813.5719466412</v>
      </c>
      <c r="D65" s="15">
        <v>44175.237805064011</v>
      </c>
      <c r="E65" s="15">
        <v>107811.07288282138</v>
      </c>
      <c r="F65" s="15">
        <v>37077.65111883208</v>
      </c>
      <c r="G65" s="15">
        <v>69299.707529466701</v>
      </c>
      <c r="H65" s="15">
        <v>5449.9026104570148</v>
      </c>
      <c r="I65" s="13">
        <v>313461.08330345037</v>
      </c>
      <c r="J65" s="13"/>
    </row>
    <row r="66" spans="1:10" x14ac:dyDescent="0.3">
      <c r="A66" s="12">
        <v>2063</v>
      </c>
      <c r="B66" s="13">
        <v>236733.01466291182</v>
      </c>
      <c r="C66" s="15">
        <v>263881.28048672876</v>
      </c>
      <c r="D66" s="15">
        <v>44147.985235766522</v>
      </c>
      <c r="E66" s="15">
        <v>107885.2186477589</v>
      </c>
      <c r="F66" s="15">
        <v>37083.828235398709</v>
      </c>
      <c r="G66" s="15">
        <v>69314.557782254546</v>
      </c>
      <c r="H66" s="15">
        <v>5449.6905855501191</v>
      </c>
      <c r="I66" s="13">
        <v>314386.50176917639</v>
      </c>
      <c r="J66" s="13"/>
    </row>
    <row r="67" spans="1:10" x14ac:dyDescent="0.3">
      <c r="A67" s="12">
        <v>2064</v>
      </c>
      <c r="B67" s="13">
        <v>235926.66692072907</v>
      </c>
      <c r="C67" s="15">
        <v>263928.70273911959</v>
      </c>
      <c r="D67" s="15">
        <v>44114.116129392154</v>
      </c>
      <c r="E67" s="15">
        <v>107937.76705374394</v>
      </c>
      <c r="F67" s="15">
        <v>37094.200084649019</v>
      </c>
      <c r="G67" s="15">
        <v>69332.722880938032</v>
      </c>
      <c r="H67" s="15">
        <v>5449.8965903964272</v>
      </c>
      <c r="I67" s="13">
        <v>315274.80693433218</v>
      </c>
      <c r="J67" s="13"/>
    </row>
    <row r="68" spans="1:10" x14ac:dyDescent="0.3">
      <c r="A68" s="12">
        <v>2065</v>
      </c>
      <c r="B68" s="13">
        <v>235090.91084315081</v>
      </c>
      <c r="C68" s="15">
        <v>263951.00509955385</v>
      </c>
      <c r="D68" s="15">
        <v>44069.595601531</v>
      </c>
      <c r="E68" s="15">
        <v>107966.87318887125</v>
      </c>
      <c r="F68" s="15">
        <v>37108.504080292812</v>
      </c>
      <c r="G68" s="15">
        <v>69356.266935420776</v>
      </c>
      <c r="H68" s="15">
        <v>5449.7652934380421</v>
      </c>
      <c r="I68" s="13">
        <v>316121.19876364997</v>
      </c>
      <c r="J68" s="13"/>
    </row>
    <row r="69" spans="1:10" x14ac:dyDescent="0.3">
      <c r="A69" s="12">
        <v>2066</v>
      </c>
      <c r="B69" s="13">
        <v>234218.35895006015</v>
      </c>
      <c r="C69" s="15">
        <v>263937.03575254348</v>
      </c>
      <c r="D69" s="15">
        <v>44009.205635692095</v>
      </c>
      <c r="E69" s="15">
        <v>107968.8195079682</v>
      </c>
      <c r="F69" s="15">
        <v>37127.013246517548</v>
      </c>
      <c r="G69" s="15">
        <v>69382.566988366918</v>
      </c>
      <c r="H69" s="15">
        <v>5449.4303739986917</v>
      </c>
      <c r="I69" s="13">
        <v>316916.86096543272</v>
      </c>
      <c r="J69" s="13"/>
    </row>
    <row r="70" spans="1:10" x14ac:dyDescent="0.3">
      <c r="A70" s="12">
        <v>2067</v>
      </c>
      <c r="B70" s="13">
        <v>233305.35678560796</v>
      </c>
      <c r="C70" s="15">
        <v>263884.08767152391</v>
      </c>
      <c r="D70" s="15">
        <v>43931.982010535881</v>
      </c>
      <c r="E70" s="15">
        <v>107943.66071551337</v>
      </c>
      <c r="F70" s="15">
        <v>37148.70679692163</v>
      </c>
      <c r="G70" s="15">
        <v>69410.269803522257</v>
      </c>
      <c r="H70" s="15">
        <v>5449.4683450307857</v>
      </c>
      <c r="I70" s="13">
        <v>317657.95182430127</v>
      </c>
      <c r="J70" s="13"/>
    </row>
    <row r="71" spans="1:10" x14ac:dyDescent="0.3">
      <c r="A71" s="12">
        <v>2068</v>
      </c>
      <c r="B71" s="13">
        <v>232350.23876712823</v>
      </c>
      <c r="C71" s="15">
        <v>263788.58528308873</v>
      </c>
      <c r="D71" s="15">
        <v>43837.502243250579</v>
      </c>
      <c r="E71" s="15">
        <v>107890.59821033003</v>
      </c>
      <c r="F71" s="15">
        <v>37172.811905100745</v>
      </c>
      <c r="G71" s="15">
        <v>69437.974365240894</v>
      </c>
      <c r="H71" s="15">
        <v>5449.6985591665098</v>
      </c>
      <c r="I71" s="13">
        <v>318344.30341456545</v>
      </c>
      <c r="J71" s="13"/>
    </row>
    <row r="72" spans="1:10" x14ac:dyDescent="0.3">
      <c r="A72" s="12">
        <v>2069</v>
      </c>
      <c r="B72" s="13">
        <v>231353.78693697389</v>
      </c>
      <c r="C72" s="15">
        <v>263645.00083175855</v>
      </c>
      <c r="D72" s="15">
        <v>43727.154510768902</v>
      </c>
      <c r="E72" s="15">
        <v>107810.09741218998</v>
      </c>
      <c r="F72" s="15">
        <v>37197.273528878119</v>
      </c>
      <c r="G72" s="15">
        <v>69461.690668046096</v>
      </c>
      <c r="H72" s="15">
        <v>5448.7847118754353</v>
      </c>
      <c r="I72" s="13">
        <v>318972.70925261721</v>
      </c>
      <c r="J72" s="13"/>
    </row>
    <row r="73" spans="1:10" x14ac:dyDescent="0.3">
      <c r="A73" s="12">
        <v>2070</v>
      </c>
      <c r="B73" s="13">
        <v>230312.43340517237</v>
      </c>
      <c r="C73" s="15">
        <v>263449.85785017197</v>
      </c>
      <c r="D73" s="15">
        <v>43600.243832758024</v>
      </c>
      <c r="E73" s="15">
        <v>107702.40255908434</v>
      </c>
      <c r="F73" s="15">
        <v>37220.492633147362</v>
      </c>
      <c r="G73" s="15">
        <v>69479.432207682607</v>
      </c>
      <c r="H73" s="15">
        <v>5447.2866174996861</v>
      </c>
      <c r="I73" s="13">
        <v>319539.75693351176</v>
      </c>
      <c r="J73" s="13"/>
    </row>
    <row r="74" spans="1:10" x14ac:dyDescent="0.3">
      <c r="A74" s="12">
        <v>2071</v>
      </c>
      <c r="B74" s="13">
        <v>229229.93038048202</v>
      </c>
      <c r="C74" s="15">
        <v>263198.32929835253</v>
      </c>
      <c r="D74" s="15">
        <v>43458.052343057614</v>
      </c>
      <c r="E74" s="15">
        <v>107569.16139963958</v>
      </c>
      <c r="F74" s="15">
        <v>37240.374571280969</v>
      </c>
      <c r="G74" s="15">
        <v>69486.250792029954</v>
      </c>
      <c r="H74" s="15">
        <v>5444.4901923443922</v>
      </c>
      <c r="I74" s="13">
        <v>320044.55475546664</v>
      </c>
      <c r="J74" s="13"/>
    </row>
    <row r="75" spans="1:10" x14ac:dyDescent="0.3">
      <c r="A75" s="12">
        <v>2072</v>
      </c>
      <c r="B75" s="13">
        <v>228105.83297052601</v>
      </c>
      <c r="C75" s="15">
        <v>262888.94371879555</v>
      </c>
      <c r="D75" s="15">
        <v>43302.496993609428</v>
      </c>
      <c r="E75" s="15">
        <v>107411.68790594593</v>
      </c>
      <c r="F75" s="15">
        <v>37254.833566161673</v>
      </c>
      <c r="G75" s="15">
        <v>69479.308467162715</v>
      </c>
      <c r="H75" s="15">
        <v>5440.6167859158049</v>
      </c>
      <c r="I75" s="13">
        <v>320488.92352542008</v>
      </c>
      <c r="J75" s="13"/>
    </row>
    <row r="76" spans="1:10" x14ac:dyDescent="0.3">
      <c r="A76" s="12">
        <v>2073</v>
      </c>
      <c r="B76" s="13">
        <v>226945.88426723701</v>
      </c>
      <c r="C76" s="15">
        <v>262522.9600013445</v>
      </c>
      <c r="D76" s="15">
        <v>43136.834830599124</v>
      </c>
      <c r="E76" s="15">
        <v>107231.67746029832</v>
      </c>
      <c r="F76" s="15">
        <v>37262.388415508554</v>
      </c>
      <c r="G76" s="15">
        <v>69456.214045331872</v>
      </c>
      <c r="H76" s="15">
        <v>5435.8452496066539</v>
      </c>
      <c r="I76" s="13">
        <v>320873.80099165032</v>
      </c>
      <c r="J76" s="13"/>
    </row>
    <row r="77" spans="1:10" x14ac:dyDescent="0.3">
      <c r="A77" s="12">
        <v>2074</v>
      </c>
      <c r="B77" s="13">
        <v>225759.37931971639</v>
      </c>
      <c r="C77" s="15">
        <v>262104.18661050263</v>
      </c>
      <c r="D77" s="15">
        <v>42965.06353724889</v>
      </c>
      <c r="E77" s="15">
        <v>107034.53365588596</v>
      </c>
      <c r="F77" s="15">
        <v>37261.622936862004</v>
      </c>
      <c r="G77" s="15">
        <v>69413.970118814555</v>
      </c>
      <c r="H77" s="15">
        <v>5428.9963616912337</v>
      </c>
      <c r="I77" s="13">
        <v>321202.2932810373</v>
      </c>
      <c r="J77" s="13"/>
    </row>
    <row r="78" spans="1:10" x14ac:dyDescent="0.3">
      <c r="A78" s="12">
        <v>2075</v>
      </c>
      <c r="B78" s="13">
        <v>224542.69142677952</v>
      </c>
      <c r="C78" s="15">
        <v>261631.58842677579</v>
      </c>
      <c r="D78" s="15">
        <v>42788.93436471001</v>
      </c>
      <c r="E78" s="15">
        <v>106823.91895118773</v>
      </c>
      <c r="F78" s="15">
        <v>37251.523593110433</v>
      </c>
      <c r="G78" s="15">
        <v>69345.947281259796</v>
      </c>
      <c r="H78" s="15">
        <v>5421.2642365077782</v>
      </c>
      <c r="I78" s="13">
        <v>321472.36054443585</v>
      </c>
      <c r="J78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Kuvio 14</vt:lpstr>
      <vt:lpstr>Kuvio 15</vt:lpstr>
      <vt:lpstr>Kuvio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Vanhala, Juuso</dc:creator>
  <cp:lastModifiedBy>Huovari Janne (VM)</cp:lastModifiedBy>
  <dcterms:created xsi:type="dcterms:W3CDTF">2026-08-28T12:23:29Z</dcterms:created>
  <dcterms:modified xsi:type="dcterms:W3CDTF">2026-09-18T14:38:11Z</dcterms:modified>
</cp:coreProperties>
</file>