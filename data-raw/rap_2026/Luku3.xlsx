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L:\Tuottavuuslautakunta\Raportti_2026\"/>
    </mc:Choice>
  </mc:AlternateContent>
  <xr:revisionPtr revIDLastSave="0" documentId="13_ncr:1_{D75EAA6F-6B69-45E6-809F-80CBBB71C5B3}" xr6:coauthVersionLast="47" xr6:coauthVersionMax="47" xr10:uidLastSave="{00000000-0000-0000-0000-000000000000}"/>
  <bookViews>
    <workbookView xWindow="-38480" yWindow="-80" windowWidth="38560" windowHeight="21040" activeTab="3" xr2:uid="{96E585B6-5D10-42B8-AFD4-413E8DBD53EE}"/>
  </bookViews>
  <sheets>
    <sheet name="kuvio1" sheetId="2" r:id="rId1"/>
    <sheet name="kuvio2" sheetId="1" r:id="rId2"/>
    <sheet name="kuvio3" sheetId="4" r:id="rId3"/>
    <sheet name="kuvio4" sheetId="3" r:id="rId4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3" l="1"/>
  <c r="J8" i="3"/>
  <c r="J9" i="3"/>
  <c r="J10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</calcChain>
</file>

<file path=xl/sharedStrings.xml><?xml version="1.0" encoding="utf-8"?>
<sst xmlns="http://schemas.openxmlformats.org/spreadsheetml/2006/main" count="187" uniqueCount="67">
  <si>
    <t>geo</t>
  </si>
  <si>
    <t>caplab_total_eur</t>
  </si>
  <si>
    <t>G</t>
  </si>
  <si>
    <t>AT</t>
  </si>
  <si>
    <t>H</t>
  </si>
  <si>
    <t>J</t>
  </si>
  <si>
    <t>K</t>
  </si>
  <si>
    <t>M</t>
  </si>
  <si>
    <t>BE</t>
  </si>
  <si>
    <t>CZ</t>
  </si>
  <si>
    <t>DE</t>
  </si>
  <si>
    <t>DK</t>
  </si>
  <si>
    <t>EE</t>
  </si>
  <si>
    <t>EL</t>
  </si>
  <si>
    <t>ES</t>
  </si>
  <si>
    <t>FI</t>
  </si>
  <si>
    <t>FR</t>
  </si>
  <si>
    <t>HU</t>
  </si>
  <si>
    <t>IE</t>
  </si>
  <si>
    <t>IT</t>
  </si>
  <si>
    <t>LT</t>
  </si>
  <si>
    <t>LU</t>
  </si>
  <si>
    <t>LV</t>
  </si>
  <si>
    <t>MT</t>
  </si>
  <si>
    <t>NL</t>
  </si>
  <si>
    <t>NO</t>
  </si>
  <si>
    <t>PL</t>
  </si>
  <si>
    <t>RO</t>
  </si>
  <si>
    <t>SE</t>
  </si>
  <si>
    <t>SI</t>
  </si>
  <si>
    <t>SK</t>
  </si>
  <si>
    <t>labprod_eur</t>
  </si>
  <si>
    <t>CY</t>
  </si>
  <si>
    <t>HR</t>
  </si>
  <si>
    <t>PT</t>
  </si>
  <si>
    <t>Kaitila, Ville. “Service Industries,Capital Intensity, and Labour Productivity”. ETLA Working Papers No 127.</t>
  </si>
  <si>
    <t>Huom. Kuvion laskelmissa yksityinen palvelusektori sisältää TOL 2008:n toimialat 45–63, 68–74 ja 77–82. Työn tuottavuus on mitattu vuoden 2015 kiinteähintaisena arvonlisäyksenä henkilötyö-vuotta kohden. Lähde: Tilastokeskus; omat laskelmat.</t>
  </si>
  <si>
    <t>Kuvio 1.	Työn tuottavuus Suomen yksityisellä palvelusektorilla vuosina 2000–2024</t>
  </si>
  <si>
    <t>LP</t>
  </si>
  <si>
    <t>Year</t>
  </si>
  <si>
    <t>2019–2022</t>
  </si>
  <si>
    <t>2019-2022</t>
  </si>
  <si>
    <t>2016–2019</t>
  </si>
  <si>
    <t>2016-2019</t>
  </si>
  <si>
    <t>2013–2016</t>
  </si>
  <si>
    <t>2013-2016</t>
  </si>
  <si>
    <t>2010–2013</t>
  </si>
  <si>
    <t>2010-2013</t>
  </si>
  <si>
    <t>Sectorin työn tuottavuus</t>
  </si>
  <si>
    <t>Perioodi</t>
  </si>
  <si>
    <t>Kuvio 4.	Työn tuottavuuden kasvun lähteet Suomen yksityisissä palve-luissa</t>
  </si>
  <si>
    <t>Jatkavat yritykset, ei yritysjärjestelyjä</t>
  </si>
  <si>
    <t>Yritysostoja tehneet jatkavat yritykset</t>
  </si>
  <si>
    <t>Aito markkinoille tulo ja poistuminen</t>
  </si>
  <si>
    <t>Yritysjärjestelyihin liittyvä markkinoille tulo ja poistuminen</t>
  </si>
  <si>
    <t>Työvoiman uudelleenkohdentuminen</t>
  </si>
  <si>
    <t>Työn tuottavuus yksityisissä palveluissa</t>
  </si>
  <si>
    <t>Industry</t>
  </si>
  <si>
    <t>Kuvio 3.	Työvoimakustannusten suhde työn arvioituun rajatuottoon toimi-aloittain vuosina 2000–2022</t>
  </si>
  <si>
    <t>Tutkimus- ja kehittämistoiminta (M72)</t>
  </si>
  <si>
    <t>Lakiasiain- ja laskentatoimen palvelut (M69)</t>
  </si>
  <si>
    <t>Tietopalvelut (J63)</t>
  </si>
  <si>
    <t>Ohjelmistojen suunnittelu ja valmistus (J62010)</t>
  </si>
  <si>
    <t>Hotellit (I55101)</t>
  </si>
  <si>
    <t>Varastointi ja liikennettä palveleva toiminta (H52)</t>
  </si>
  <si>
    <t>Tieliikenteen tavarankuljetus (H49410)</t>
  </si>
  <si>
    <t>Moottoriajoneuvojen huolto ja korjaus (G45201)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</si>
</sst>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top" wrapText="1"/>
    </xf>
    <xf numFmtId="11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4" fillId="0" borderId="0" xfId="0" applyFont="1"/>
    <xf numFmtId="9" fontId="0" fillId="0" borderId="0" xfId="1" applyFont="1"/>
    <xf numFmtId="0" fontId="5" fillId="0" borderId="0" xfId="0" applyFont="1"/>
    <xf numFmtId="1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/>
    </xf>
    <xf numFmtId="0" fontId="6" fillId="0" borderId="1" xfId="0" applyFont="1" applyBorder="1"/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0" fontId="0" fillId="2" borderId="0" xfId="0" applyFill="1"/>
    <xf numFmtId="0" fontId="7" fillId="0" borderId="2" xfId="0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10" fillId="0" borderId="0" xfId="0" applyFont="1"/>
    <xf numFmtId="0" fontId="11" fillId="0" borderId="0" xfId="0" applyFont="1"/>
    <xf numFmtId="164" fontId="0" fillId="0" borderId="0" xfId="0" applyNumberFormat="1" applyAlignment="1">
      <alignment horizontal="left"/>
    </xf>
    <xf numFmtId="0" fontId="1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630016508072047E-2"/>
          <c:y val="0.12480095948271366"/>
          <c:w val="0.92900628446009292"/>
          <c:h val="0.80325025560675078"/>
        </c:manualLayout>
      </c:layout>
      <c:lineChart>
        <c:grouping val="standard"/>
        <c:varyColors val="0"/>
        <c:ser>
          <c:idx val="1"/>
          <c:order val="0"/>
          <c:tx>
            <c:strRef>
              <c:f>kuvio1!$B$1</c:f>
              <c:strCache>
                <c:ptCount val="1"/>
                <c:pt idx="0">
                  <c:v>LP</c:v>
                </c:pt>
              </c:strCache>
            </c:strRef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Pt>
            <c:idx val="2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4D8A-4670-9E2F-21A23DA7D272}"/>
              </c:ext>
            </c:extLst>
          </c:dPt>
          <c:cat>
            <c:numRef>
              <c:f>kuvio1!$A$2:$A$26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kuvio1!$C$2:$C$26</c:f>
              <c:numCache>
                <c:formatCode>0</c:formatCode>
                <c:ptCount val="25"/>
                <c:pt idx="0">
                  <c:v>58.530389999999997</c:v>
                </c:pt>
                <c:pt idx="1">
                  <c:v>60.580260000000003</c:v>
                </c:pt>
                <c:pt idx="2">
                  <c:v>60.671239999999997</c:v>
                </c:pt>
                <c:pt idx="3">
                  <c:v>61.400449999999999</c:v>
                </c:pt>
                <c:pt idx="4">
                  <c:v>63.656089999999999</c:v>
                </c:pt>
                <c:pt idx="5">
                  <c:v>62.410309999999996</c:v>
                </c:pt>
                <c:pt idx="6">
                  <c:v>62.975639999999999</c:v>
                </c:pt>
                <c:pt idx="7">
                  <c:v>64.290379999999999</c:v>
                </c:pt>
                <c:pt idx="8">
                  <c:v>63.842309999999998</c:v>
                </c:pt>
                <c:pt idx="9">
                  <c:v>59.732879999999994</c:v>
                </c:pt>
                <c:pt idx="10">
                  <c:v>61.737739999999995</c:v>
                </c:pt>
                <c:pt idx="11">
                  <c:v>61.081980000000001</c:v>
                </c:pt>
                <c:pt idx="12">
                  <c:v>61.807960000000001</c:v>
                </c:pt>
                <c:pt idx="13">
                  <c:v>58.478839999999998</c:v>
                </c:pt>
                <c:pt idx="14">
                  <c:v>59.487290000000002</c:v>
                </c:pt>
                <c:pt idx="15">
                  <c:v>60.03436</c:v>
                </c:pt>
                <c:pt idx="16">
                  <c:v>62.780140000000003</c:v>
                </c:pt>
                <c:pt idx="17">
                  <c:v>64.669339999999991</c:v>
                </c:pt>
                <c:pt idx="18">
                  <c:v>64.234260000000006</c:v>
                </c:pt>
                <c:pt idx="19">
                  <c:v>63.107500000000002</c:v>
                </c:pt>
                <c:pt idx="20">
                  <c:v>61.2117</c:v>
                </c:pt>
                <c:pt idx="21">
                  <c:v>69.232839999999996</c:v>
                </c:pt>
                <c:pt idx="22">
                  <c:v>66.117080000000001</c:v>
                </c:pt>
                <c:pt idx="23">
                  <c:v>64.302999999999997</c:v>
                </c:pt>
                <c:pt idx="24">
                  <c:v>64.510040000000004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A-4670-9E2F-21A23DA7D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8992432"/>
        <c:axId val="1198993872"/>
      </c:lineChart>
      <c:catAx>
        <c:axId val="1198992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98993872"/>
        <c:crosses val="autoZero"/>
        <c:auto val="1"/>
        <c:lblAlgn val="ctr"/>
        <c:lblOffset val="100"/>
        <c:tickLblSkip val="2"/>
        <c:noMultiLvlLbl val="0"/>
      </c:catAx>
      <c:valAx>
        <c:axId val="1198993872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365ABD"/>
                    </a:solidFill>
                  </a:rPr>
                  <a:t>1 000 euroa kokoaikatyöllistä kohden (vuoden 2015 hinnoin)</a:t>
                </a:r>
                <a:endParaRPr lang="fi-FI" sz="1000" b="0" i="0" u="none" strike="noStrike" kern="1200" baseline="0">
                  <a:solidFill>
                    <a:srgbClr val="365ABD"/>
                  </a:solidFill>
                </a:endParaRPr>
              </a:p>
            </c:rich>
          </c:tx>
          <c:layout>
            <c:manualLayout>
              <c:xMode val="edge"/>
              <c:yMode val="edge"/>
              <c:x val="3.3792227354469025E-2"/>
              <c:y val="1.144287427647702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9899243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i-FI" sz="1200" b="0" i="0" u="none" strike="noStrike" kern="1200" spc="0" baseline="0">
                <a:solidFill>
                  <a:sysClr val="windowText" lastClr="000000"/>
                </a:solidFill>
              </a:rPr>
              <a:t>Kauppa</a:t>
            </a:r>
          </a:p>
        </c:rich>
      </c:tx>
      <c:layout>
        <c:manualLayout>
          <c:xMode val="edge"/>
          <c:yMode val="edge"/>
          <c:x val="0.49895243055555555"/>
          <c:y val="8.81944444444444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>
        <c:manualLayout>
          <c:layoutTarget val="inner"/>
          <c:xMode val="edge"/>
          <c:yMode val="edge"/>
          <c:x val="0.17964687500000001"/>
          <c:y val="0.11429892141756548"/>
          <c:w val="0.75461527777777782"/>
          <c:h val="0.66466694413589988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8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D52-41B4-9A38-AA8070546057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D52-41B4-9A38-AA807054605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A575526-2884-4952-ABE0-5BBB4FC9020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AD52-41B4-9A38-AA8070546057}"/>
                </c:ext>
              </c:extLst>
            </c:dLbl>
            <c:dLbl>
              <c:idx val="1"/>
              <c:layout>
                <c:manualLayout>
                  <c:x val="-6.6145833333333334E-2"/>
                  <c:y val="6.1148148148148146E-2"/>
                </c:manualLayout>
              </c:layout>
              <c:tx>
                <c:rich>
                  <a:bodyPr/>
                  <a:lstStyle/>
                  <a:p>
                    <a:fld id="{17B75EAE-6076-46CD-A9F0-285FF7D0FE6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D52-41B4-9A38-AA807054605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4DC8B3E-93DA-420C-8BAA-ADDD2B15DC8D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D52-41B4-9A38-AA807054605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F0FB171-51B5-45C3-8011-55E660B9AC59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D52-41B4-9A38-AA807054605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BC33418-59EB-4E77-96CF-4BA2D5102733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D52-41B4-9A38-AA807054605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CAD229D-1CAE-41D4-AF51-E51E908F1314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D52-41B4-9A38-AA807054605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F251D7C-0D12-41F9-BC54-A45697093BE7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D52-41B4-9A38-AA8070546057}"/>
                </c:ext>
              </c:extLst>
            </c:dLbl>
            <c:dLbl>
              <c:idx val="7"/>
              <c:layout>
                <c:manualLayout>
                  <c:x val="-6.1736111111111151E-2"/>
                  <c:y val="5.1446883762450095E-2"/>
                </c:manualLayout>
              </c:layout>
              <c:tx>
                <c:rich>
                  <a:bodyPr/>
                  <a:lstStyle/>
                  <a:p>
                    <a:fld id="{E91F82F2-CAD9-49D0-A2AF-7986CD815B4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D52-41B4-9A38-AA807054605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39E576C-4A6F-4411-9B45-9082BBEA1DE6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D52-41B4-9A38-AA807054605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3C4E250-3467-4B30-B91D-0D3C961E9C0B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D52-41B4-9A38-AA807054605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BC2C858-008C-460D-B56B-85D791A890B5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D52-41B4-9A38-AA807054605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53DC3F4-7412-4007-8B4D-7E4A74AEA2FD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D52-41B4-9A38-AA8070546057}"/>
                </c:ext>
              </c:extLst>
            </c:dLbl>
            <c:dLbl>
              <c:idx val="12"/>
              <c:layout>
                <c:manualLayout>
                  <c:x val="-2.2048611111111151E-2"/>
                  <c:y val="2.80619365977001E-2"/>
                </c:manualLayout>
              </c:layout>
              <c:tx>
                <c:rich>
                  <a:bodyPr/>
                  <a:lstStyle/>
                  <a:p>
                    <a:fld id="{5D4A11BC-ED42-4DBA-BB5F-7ADBC35406E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AD52-41B4-9A38-AA807054605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ABE2075-DCFC-43B8-BDD4-AF095DF94591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D52-41B4-9A38-AA807054605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3DCF7E1-3DA2-4835-A568-743333D1216B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D52-41B4-9A38-AA8070546057}"/>
                </c:ext>
              </c:extLst>
            </c:dLbl>
            <c:dLbl>
              <c:idx val="15"/>
              <c:layout>
                <c:manualLayout>
                  <c:x val="0"/>
                  <c:y val="-1.8707957731800066E-2"/>
                </c:manualLayout>
              </c:layout>
              <c:tx>
                <c:rich>
                  <a:bodyPr/>
                  <a:lstStyle/>
                  <a:p>
                    <a:fld id="{20D01411-D6A7-4087-BF5D-A5894C365BD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AD52-41B4-9A38-AA807054605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i-FI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D52-41B4-9A38-AA807054605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9111BA3-D49E-4463-8924-F236D9E3F937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D52-41B4-9A38-AA807054605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6D92F46-B650-4F12-9FD8-47D02624B939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D52-41B4-9A38-AA807054605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5EAA65E-CC32-4863-8EF0-4D24E6ABE5D7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D52-41B4-9A38-AA807054605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9A54AB2-ABCE-4661-9350-9CD3F224E8EA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D52-41B4-9A38-AA8070546057}"/>
                </c:ext>
              </c:extLst>
            </c:dLbl>
            <c:dLbl>
              <c:idx val="21"/>
              <c:layout>
                <c:manualLayout>
                  <c:x val="-0.11024305555555555"/>
                  <c:y val="-4.6769894329500164E-3"/>
                </c:manualLayout>
              </c:layout>
              <c:tx>
                <c:rich>
                  <a:bodyPr/>
                  <a:lstStyle/>
                  <a:p>
                    <a:fld id="{B1083348-F1F9-421D-A5E6-1FD02B9D273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AD52-41B4-9A38-AA8070546057}"/>
                </c:ext>
              </c:extLst>
            </c:dLbl>
            <c:dLbl>
              <c:idx val="22"/>
              <c:layout>
                <c:manualLayout>
                  <c:x val="-6.1736111111111151E-2"/>
                  <c:y val="-7.0154841494250247E-2"/>
                </c:manualLayout>
              </c:layout>
              <c:tx>
                <c:rich>
                  <a:bodyPr/>
                  <a:lstStyle/>
                  <a:p>
                    <a:fld id="{408711EE-F7D8-4ED2-AAA8-802EF5A3D09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AD52-41B4-9A38-AA8070546057}"/>
                </c:ext>
              </c:extLst>
            </c:dLbl>
            <c:dLbl>
              <c:idx val="23"/>
              <c:layout>
                <c:manualLayout>
                  <c:x val="-1.763888888888893E-2"/>
                  <c:y val="4.6769894329500163E-2"/>
                </c:manualLayout>
              </c:layout>
              <c:tx>
                <c:rich>
                  <a:bodyPr/>
                  <a:lstStyle/>
                  <a:p>
                    <a:fld id="{509BE717-E778-40AA-AC6F-0C6271E9327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AD52-41B4-9A38-AA8070546057}"/>
                </c:ext>
              </c:extLst>
            </c:dLbl>
            <c:dLbl>
              <c:idx val="24"/>
              <c:layout>
                <c:manualLayout>
                  <c:x val="-8.819444444444445E-2"/>
                  <c:y val="3.7415915463600131E-2"/>
                </c:manualLayout>
              </c:layout>
              <c:tx>
                <c:rich>
                  <a:bodyPr/>
                  <a:lstStyle/>
                  <a:p>
                    <a:fld id="{25853CFC-32BB-44D1-ACF6-7B3FA5A7DE1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9F7-48BC-9D00-87D7812C0F7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A28ECDAC-B194-4A27-B422-FD464C4167FD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9F7-48BC-9D00-87D7812C0F7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6CAD97C-B894-418F-B55C-BA77197ED8E4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9F7-48BC-9D00-87D7812C0F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i-FI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3147222222222224E-2"/>
                  <c:y val="0.51129370370370375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i-FI"/>
                </a:p>
              </c:txPr>
            </c:trendlineLbl>
          </c:trendline>
          <c:xVal>
            <c:numRef>
              <c:f>kuvio2!$C$8:$C$34</c:f>
              <c:numCache>
                <c:formatCode>0.0</c:formatCode>
                <c:ptCount val="27"/>
                <c:pt idx="0">
                  <c:v>50.870699999999999</c:v>
                </c:pt>
                <c:pt idx="1">
                  <c:v>75.897300000000001</c:v>
                </c:pt>
                <c:pt idx="2">
                  <c:v>17.081200000000003</c:v>
                </c:pt>
                <c:pt idx="3">
                  <c:v>20.105499999999999</c:v>
                </c:pt>
                <c:pt idx="4">
                  <c:v>30.762</c:v>
                </c:pt>
                <c:pt idx="5">
                  <c:v>39.6952</c:v>
                </c:pt>
                <c:pt idx="6">
                  <c:v>24.219100000000001</c:v>
                </c:pt>
                <c:pt idx="7">
                  <c:v>9.7853999999999992</c:v>
                </c:pt>
                <c:pt idx="8">
                  <c:v>38.586500000000001</c:v>
                </c:pt>
                <c:pt idx="9">
                  <c:v>33.703299999999999</c:v>
                </c:pt>
                <c:pt idx="10">
                  <c:v>21.071300000000001</c:v>
                </c:pt>
                <c:pt idx="11">
                  <c:v>31.043000000000003</c:v>
                </c:pt>
                <c:pt idx="12">
                  <c:v>18.1297</c:v>
                </c:pt>
                <c:pt idx="13">
                  <c:v>24.040099999999999</c:v>
                </c:pt>
                <c:pt idx="14">
                  <c:v>26.369</c:v>
                </c:pt>
                <c:pt idx="15">
                  <c:v>17.759500000000003</c:v>
                </c:pt>
                <c:pt idx="17">
                  <c:v>17.619599999999998</c:v>
                </c:pt>
                <c:pt idx="18">
                  <c:v>16.9636</c:v>
                </c:pt>
                <c:pt idx="19">
                  <c:v>31.4377</c:v>
                </c:pt>
                <c:pt idx="20">
                  <c:v>41.899899999999995</c:v>
                </c:pt>
                <c:pt idx="21">
                  <c:v>9.8730999999999991</c:v>
                </c:pt>
                <c:pt idx="22">
                  <c:v>17.157399999999999</c:v>
                </c:pt>
                <c:pt idx="23">
                  <c:v>16.581499999999998</c:v>
                </c:pt>
                <c:pt idx="24">
                  <c:v>55.732900000000001</c:v>
                </c:pt>
                <c:pt idx="25">
                  <c:v>42.610399999999998</c:v>
                </c:pt>
                <c:pt idx="26">
                  <c:v>28.508300000000002</c:v>
                </c:pt>
              </c:numCache>
            </c:numRef>
          </c:xVal>
          <c:yVal>
            <c:numRef>
              <c:f>kuvio2!$B$8:$B$34</c:f>
              <c:numCache>
                <c:formatCode>0.0</c:formatCode>
                <c:ptCount val="27"/>
                <c:pt idx="0">
                  <c:v>42.292349999999999</c:v>
                </c:pt>
                <c:pt idx="1">
                  <c:v>55.171779999999998</c:v>
                </c:pt>
                <c:pt idx="2">
                  <c:v>20.62388</c:v>
                </c:pt>
                <c:pt idx="3">
                  <c:v>16.233730000000001</c:v>
                </c:pt>
                <c:pt idx="4">
                  <c:v>39.932090000000002</c:v>
                </c:pt>
                <c:pt idx="5">
                  <c:v>62.350349999999999</c:v>
                </c:pt>
                <c:pt idx="6">
                  <c:v>16.305219999999998</c:v>
                </c:pt>
                <c:pt idx="7">
                  <c:v>10.20074</c:v>
                </c:pt>
                <c:pt idx="8">
                  <c:v>23.63287</c:v>
                </c:pt>
                <c:pt idx="9">
                  <c:v>43.851080000000003</c:v>
                </c:pt>
                <c:pt idx="10">
                  <c:v>36.39893</c:v>
                </c:pt>
                <c:pt idx="11">
                  <c:v>13.52399</c:v>
                </c:pt>
                <c:pt idx="12">
                  <c:v>13.50648</c:v>
                </c:pt>
                <c:pt idx="13">
                  <c:v>57.661850000000001</c:v>
                </c:pt>
                <c:pt idx="14">
                  <c:v>30.780840000000001</c:v>
                </c:pt>
                <c:pt idx="15">
                  <c:v>19.71876</c:v>
                </c:pt>
                <c:pt idx="17">
                  <c:v>16.400379999999998</c:v>
                </c:pt>
                <c:pt idx="18">
                  <c:v>16.905270000000002</c:v>
                </c:pt>
                <c:pt idx="19">
                  <c:v>52.191270000000003</c:v>
                </c:pt>
                <c:pt idx="20">
                  <c:v>65.932749999999999</c:v>
                </c:pt>
                <c:pt idx="21">
                  <c:v>16.97561</c:v>
                </c:pt>
                <c:pt idx="22">
                  <c:v>18.496649999999999</c:v>
                </c:pt>
                <c:pt idx="23">
                  <c:v>8.2097040000000003</c:v>
                </c:pt>
                <c:pt idx="24">
                  <c:v>57.84599</c:v>
                </c:pt>
                <c:pt idx="25">
                  <c:v>26.709160000000001</c:v>
                </c:pt>
                <c:pt idx="26">
                  <c:v>13.85627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kuvio2!$A$8:$A$34</c15:f>
                <c15:dlblRangeCache>
                  <c:ptCount val="27"/>
                  <c:pt idx="0">
                    <c:v>AT</c:v>
                  </c:pt>
                  <c:pt idx="1">
                    <c:v>BE</c:v>
                  </c:pt>
                  <c:pt idx="2">
                    <c:v>CY</c:v>
                  </c:pt>
                  <c:pt idx="3">
                    <c:v>CZ</c:v>
                  </c:pt>
                  <c:pt idx="4">
                    <c:v>DE</c:v>
                  </c:pt>
                  <c:pt idx="5">
                    <c:v>DK</c:v>
                  </c:pt>
                  <c:pt idx="6">
                    <c:v>EE</c:v>
                  </c:pt>
                  <c:pt idx="7">
                    <c:v>EL</c:v>
                  </c:pt>
                  <c:pt idx="8">
                    <c:v>ES</c:v>
                  </c:pt>
                  <c:pt idx="9">
                    <c:v>FI</c:v>
                  </c:pt>
                  <c:pt idx="10">
                    <c:v>FR</c:v>
                  </c:pt>
                  <c:pt idx="11">
                    <c:v>HR</c:v>
                  </c:pt>
                  <c:pt idx="12">
                    <c:v>HU</c:v>
                  </c:pt>
                  <c:pt idx="13">
                    <c:v>IE</c:v>
                  </c:pt>
                  <c:pt idx="14">
                    <c:v>IT</c:v>
                  </c:pt>
                  <c:pt idx="15">
                    <c:v>LT</c:v>
                  </c:pt>
                  <c:pt idx="16">
                    <c:v>LU</c:v>
                  </c:pt>
                  <c:pt idx="17">
                    <c:v>LV</c:v>
                  </c:pt>
                  <c:pt idx="18">
                    <c:v>MT</c:v>
                  </c:pt>
                  <c:pt idx="19">
                    <c:v>NL</c:v>
                  </c:pt>
                  <c:pt idx="20">
                    <c:v>NO</c:v>
                  </c:pt>
                  <c:pt idx="21">
                    <c:v>PL</c:v>
                  </c:pt>
                  <c:pt idx="22">
                    <c:v>PT</c:v>
                  </c:pt>
                  <c:pt idx="23">
                    <c:v>RO</c:v>
                  </c:pt>
                  <c:pt idx="24">
                    <c:v>SE</c:v>
                  </c:pt>
                  <c:pt idx="25">
                    <c:v>SI</c:v>
                  </c:pt>
                  <c:pt idx="26">
                    <c:v>SK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AD52-41B4-9A38-AA8070546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1245536"/>
        <c:axId val="1771246496"/>
      </c:scatterChart>
      <c:valAx>
        <c:axId val="177124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 sz="1000" b="0" i="0" u="none" strike="noStrike" kern="1200" baseline="0">
                    <a:solidFill>
                      <a:sysClr val="windowText" lastClr="000000"/>
                    </a:solidFill>
                  </a:rPr>
                  <a:t>Pääomakanta suhteessa tehtyihin työtunteihin</a:t>
                </a:r>
              </a:p>
            </c:rich>
          </c:tx>
          <c:layout>
            <c:manualLayout>
              <c:xMode val="edge"/>
              <c:yMode val="edge"/>
              <c:x val="0.24974513888888888"/>
              <c:y val="0.915311111111111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771246496"/>
        <c:crosses val="autoZero"/>
        <c:crossBetween val="midCat"/>
      </c:valAx>
      <c:valAx>
        <c:axId val="1771246496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Tuottavuus</a:t>
                </a:r>
              </a:p>
            </c:rich>
          </c:tx>
          <c:layout>
            <c:manualLayout>
              <c:xMode val="edge"/>
              <c:yMode val="edge"/>
              <c:x val="1.7390277777777779E-2"/>
              <c:y val="0.34568506944444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771245536"/>
        <c:crosses val="autoZero"/>
        <c:crossBetween val="midCat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</a:defRPr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i-FI" sz="1200" b="0" i="0" u="none" strike="noStrike" kern="1200" spc="0" baseline="0">
                <a:solidFill>
                  <a:sysClr val="windowText" lastClr="000000"/>
                </a:solidFill>
              </a:rPr>
              <a:t>Kuljetus ja varastointi</a:t>
            </a:r>
          </a:p>
        </c:rich>
      </c:tx>
      <c:layout>
        <c:manualLayout>
          <c:xMode val="edge"/>
          <c:yMode val="edge"/>
          <c:x val="0.25557256944444445"/>
          <c:y val="1.352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>
        <c:manualLayout>
          <c:layoutTarget val="inner"/>
          <c:xMode val="edge"/>
          <c:yMode val="edge"/>
          <c:x val="0.17964687500000001"/>
          <c:y val="0.11429892141756548"/>
          <c:w val="0.75461527777777782"/>
          <c:h val="0.67909584920923172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8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E72-44ED-B401-B7D90D3EF69B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E72-44ED-B401-B7D90D3EF69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8F54F44-BC92-4F1E-AFC4-512E301B686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E72-44ED-B401-B7D90D3EF69B}"/>
                </c:ext>
              </c:extLst>
            </c:dLbl>
            <c:dLbl>
              <c:idx val="1"/>
              <c:layout>
                <c:manualLayout>
                  <c:x val="-9.7013888888888969E-2"/>
                  <c:y val="-1.8360682059731414E-2"/>
                </c:manualLayout>
              </c:layout>
              <c:tx>
                <c:rich>
                  <a:bodyPr/>
                  <a:lstStyle/>
                  <a:p>
                    <a:fld id="{7B850FCA-5816-4EDB-9F83-56282349362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E72-44ED-B401-B7D90D3EF69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35FC3EE-3311-4339-8ED7-3626C118C5DD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E72-44ED-B401-B7D90D3EF69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1552E6D-5D32-487C-8051-69367582CC6F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E72-44ED-B401-B7D90D3EF69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ACAD5DA-325F-4B23-B088-FCEE18B59FEC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E72-44ED-B401-B7D90D3EF69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B0046D7-60B3-44F3-8F33-78A5F2FEF4B9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E72-44ED-B401-B7D90D3EF69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AA693E1-2900-4A9E-9603-09AB91BDBA21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E72-44ED-B401-B7D90D3EF69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E06ED78-1382-4638-8210-6F212C73CC26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E72-44ED-B401-B7D90D3EF69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6F340A2-B5D2-44CB-8E23-630E969D54B4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E72-44ED-B401-B7D90D3EF69B}"/>
                </c:ext>
              </c:extLst>
            </c:dLbl>
            <c:dLbl>
              <c:idx val="9"/>
              <c:layout>
                <c:manualLayout>
                  <c:x val="-9.7013888888888886E-2"/>
                  <c:y val="0"/>
                </c:manualLayout>
              </c:layout>
              <c:tx>
                <c:rich>
                  <a:bodyPr/>
                  <a:lstStyle/>
                  <a:p>
                    <a:fld id="{FF24ADD6-43E7-4486-AFAE-2E304DB3308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E72-44ED-B401-B7D90D3EF69B}"/>
                </c:ext>
              </c:extLst>
            </c:dLbl>
            <c:dLbl>
              <c:idx val="10"/>
              <c:layout>
                <c:manualLayout>
                  <c:x val="-7.9375000000000001E-2"/>
                  <c:y val="-5.6123873195400201E-2"/>
                </c:manualLayout>
              </c:layout>
              <c:tx>
                <c:rich>
                  <a:bodyPr/>
                  <a:lstStyle/>
                  <a:p>
                    <a:fld id="{199CE5B1-9CF1-499D-842C-8CD191919C7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E72-44ED-B401-B7D90D3EF69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D1D652E-7A76-4C0E-A623-0A8A93143FE0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E72-44ED-B401-B7D90D3EF69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ECE7878-78A0-43BB-A340-A5229ACDC427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E72-44ED-B401-B7D90D3EF69B}"/>
                </c:ext>
              </c:extLst>
            </c:dLbl>
            <c:dLbl>
              <c:idx val="13"/>
              <c:layout>
                <c:manualLayout>
                  <c:x val="-1.3229166666666667E-2"/>
                  <c:y val="9.3539788659000329E-3"/>
                </c:manualLayout>
              </c:layout>
              <c:tx>
                <c:rich>
                  <a:bodyPr/>
                  <a:lstStyle/>
                  <a:p>
                    <a:fld id="{8BC02C83-2372-4D15-B52C-43B1BE5B776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DE72-44ED-B401-B7D90D3EF69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5C59EC2-EF91-456F-AA2C-85901C576EFD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E72-44ED-B401-B7D90D3EF69B}"/>
                </c:ext>
              </c:extLst>
            </c:dLbl>
            <c:dLbl>
              <c:idx val="15"/>
              <c:layout>
                <c:manualLayout>
                  <c:x val="-0.10583333333333333"/>
                  <c:y val="-4.6769894329500164E-3"/>
                </c:manualLayout>
              </c:layout>
              <c:tx>
                <c:rich>
                  <a:bodyPr/>
                  <a:lstStyle/>
                  <a:p>
                    <a:fld id="{87A93685-7630-450B-818A-E21E481056E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DE72-44ED-B401-B7D90D3EF69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i-FI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E72-44ED-B401-B7D90D3EF69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F7DC500-37F8-4697-AC68-C829302730F8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E72-44ED-B401-B7D90D3EF69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6599302-CE64-45C3-B5ED-00FF6A8E1CF7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E72-44ED-B401-B7D90D3EF69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5C001DC-04BE-430E-9BFB-E26864069BEF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E72-44ED-B401-B7D90D3EF69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4D832D7-0F56-4E78-B718-7DC3A64D6BB5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E72-44ED-B401-B7D90D3EF69B}"/>
                </c:ext>
              </c:extLst>
            </c:dLbl>
            <c:dLbl>
              <c:idx val="21"/>
              <c:layout>
                <c:manualLayout>
                  <c:x val="-8.819444444444445E-2"/>
                  <c:y val="5.1446883762450095E-2"/>
                </c:manualLayout>
              </c:layout>
              <c:tx>
                <c:rich>
                  <a:bodyPr/>
                  <a:lstStyle/>
                  <a:p>
                    <a:fld id="{4A152926-99FB-40B8-9E24-D4BC0FF6547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DE72-44ED-B401-B7D90D3EF69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06487E1-C436-46FD-8F9D-DB0CA967EE4F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E72-44ED-B401-B7D90D3EF69B}"/>
                </c:ext>
              </c:extLst>
            </c:dLbl>
            <c:dLbl>
              <c:idx val="23"/>
              <c:layout>
                <c:manualLayout>
                  <c:x val="-5.2916666666666709E-2"/>
                  <c:y val="4.2092904896550064E-2"/>
                </c:manualLayout>
              </c:layout>
              <c:tx>
                <c:rich>
                  <a:bodyPr/>
                  <a:lstStyle/>
                  <a:p>
                    <a:fld id="{A714B15A-8CE0-490D-8344-655AF75EFEC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DE72-44ED-B401-B7D90D3EF69B}"/>
                </c:ext>
              </c:extLst>
            </c:dLbl>
            <c:dLbl>
              <c:idx val="24"/>
              <c:layout>
                <c:manualLayout>
                  <c:x val="0"/>
                  <c:y val="-2.3384947164750126E-2"/>
                </c:manualLayout>
              </c:layout>
              <c:tx>
                <c:rich>
                  <a:bodyPr/>
                  <a:lstStyle/>
                  <a:p>
                    <a:fld id="{F99269AF-5E97-43B6-A136-0FA7A92FC22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DE72-44ED-B401-B7D90D3EF69B}"/>
                </c:ext>
              </c:extLst>
            </c:dLbl>
            <c:dLbl>
              <c:idx val="25"/>
              <c:layout>
                <c:manualLayout>
                  <c:x val="-1.3229166666666667E-2"/>
                  <c:y val="-1.8707957731800066E-2"/>
                </c:manualLayout>
              </c:layout>
              <c:tx>
                <c:rich>
                  <a:bodyPr/>
                  <a:lstStyle/>
                  <a:p>
                    <a:fld id="{E37F49B5-8D47-4CB6-9663-943448B44E5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DE72-44ED-B401-B7D90D3EF69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D53BB8EA-F830-45C1-95E2-03926FED4710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E72-44ED-B401-B7D90D3EF6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i-FI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614791666666667"/>
                  <c:y val="0.37709148148148147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i-FI"/>
                </a:p>
              </c:txPr>
            </c:trendlineLbl>
          </c:trendline>
          <c:xVal>
            <c:numRef>
              <c:f>kuvio2!$I$8:$I$34</c:f>
              <c:numCache>
                <c:formatCode>0.0</c:formatCode>
                <c:ptCount val="27"/>
                <c:pt idx="0">
                  <c:v>291.17700000000002</c:v>
                </c:pt>
                <c:pt idx="1">
                  <c:v>324.29070000000002</c:v>
                </c:pt>
                <c:pt idx="2">
                  <c:v>137.05020000000002</c:v>
                </c:pt>
                <c:pt idx="3">
                  <c:v>93.489800000000002</c:v>
                </c:pt>
                <c:pt idx="4">
                  <c:v>141.7561</c:v>
                </c:pt>
                <c:pt idx="5">
                  <c:v>304.15370000000001</c:v>
                </c:pt>
                <c:pt idx="6">
                  <c:v>73.838699999999989</c:v>
                </c:pt>
                <c:pt idx="7">
                  <c:v>52.799600000000005</c:v>
                </c:pt>
                <c:pt idx="8">
                  <c:v>148.1497</c:v>
                </c:pt>
                <c:pt idx="9">
                  <c:v>80.914600000000007</c:v>
                </c:pt>
                <c:pt idx="10">
                  <c:v>97.524900000000002</c:v>
                </c:pt>
                <c:pt idx="11">
                  <c:v>72.726799999999997</c:v>
                </c:pt>
                <c:pt idx="12">
                  <c:v>78.596699999999998</c:v>
                </c:pt>
                <c:pt idx="13">
                  <c:v>111.5638</c:v>
                </c:pt>
                <c:pt idx="14">
                  <c:v>198.89609999999999</c:v>
                </c:pt>
                <c:pt idx="15">
                  <c:v>55.263199999999998</c:v>
                </c:pt>
                <c:pt idx="17">
                  <c:v>59.6477</c:v>
                </c:pt>
                <c:pt idx="18">
                  <c:v>70.640999999999991</c:v>
                </c:pt>
                <c:pt idx="19">
                  <c:v>144.49290000000002</c:v>
                </c:pt>
                <c:pt idx="20">
                  <c:v>199.22719999999998</c:v>
                </c:pt>
                <c:pt idx="21">
                  <c:v>42.668799999999997</c:v>
                </c:pt>
                <c:pt idx="22">
                  <c:v>74.860600000000005</c:v>
                </c:pt>
                <c:pt idx="23">
                  <c:v>73.988700000000009</c:v>
                </c:pt>
                <c:pt idx="24">
                  <c:v>330.81509999999997</c:v>
                </c:pt>
                <c:pt idx="25">
                  <c:v>108.9645</c:v>
                </c:pt>
                <c:pt idx="26">
                  <c:v>82.500699999999995</c:v>
                </c:pt>
              </c:numCache>
            </c:numRef>
          </c:xVal>
          <c:yVal>
            <c:numRef>
              <c:f>kuvio2!$H$8:$H$34</c:f>
              <c:numCache>
                <c:formatCode>0.0</c:formatCode>
                <c:ptCount val="27"/>
                <c:pt idx="0">
                  <c:v>46.589179999999999</c:v>
                </c:pt>
                <c:pt idx="1">
                  <c:v>51.733139999999999</c:v>
                </c:pt>
                <c:pt idx="2">
                  <c:v>36.408290000000001</c:v>
                </c:pt>
                <c:pt idx="3">
                  <c:v>18.456289999999999</c:v>
                </c:pt>
                <c:pt idx="4">
                  <c:v>39.052280000000003</c:v>
                </c:pt>
                <c:pt idx="5">
                  <c:v>63.030479999999997</c:v>
                </c:pt>
                <c:pt idx="6">
                  <c:v>22.316289999999999</c:v>
                </c:pt>
                <c:pt idx="7">
                  <c:v>15.78289</c:v>
                </c:pt>
                <c:pt idx="8">
                  <c:v>27.524920000000002</c:v>
                </c:pt>
                <c:pt idx="9">
                  <c:v>33.099730000000001</c:v>
                </c:pt>
                <c:pt idx="10">
                  <c:v>37.625450000000001</c:v>
                </c:pt>
                <c:pt idx="11">
                  <c:v>10.939870000000001</c:v>
                </c:pt>
                <c:pt idx="12">
                  <c:v>16.141249999999999</c:v>
                </c:pt>
                <c:pt idx="13">
                  <c:v>28.313079999999999</c:v>
                </c:pt>
                <c:pt idx="14">
                  <c:v>36.261040000000001</c:v>
                </c:pt>
                <c:pt idx="15">
                  <c:v>24.566490000000002</c:v>
                </c:pt>
                <c:pt idx="17">
                  <c:v>15.828379999999999</c:v>
                </c:pt>
                <c:pt idx="18">
                  <c:v>18.459129999999998</c:v>
                </c:pt>
                <c:pt idx="19">
                  <c:v>44.838630000000002</c:v>
                </c:pt>
                <c:pt idx="20">
                  <c:v>52.943660000000001</c:v>
                </c:pt>
                <c:pt idx="21">
                  <c:v>13.47278</c:v>
                </c:pt>
                <c:pt idx="22">
                  <c:v>20.293389999999999</c:v>
                </c:pt>
                <c:pt idx="23">
                  <c:v>11.45176</c:v>
                </c:pt>
                <c:pt idx="24">
                  <c:v>51.053780000000003</c:v>
                </c:pt>
                <c:pt idx="25">
                  <c:v>30.741009999999999</c:v>
                </c:pt>
                <c:pt idx="26">
                  <c:v>19.352530000000002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kuvio2!$A$8:$A$34</c15:f>
                <c15:dlblRangeCache>
                  <c:ptCount val="27"/>
                  <c:pt idx="0">
                    <c:v>AT</c:v>
                  </c:pt>
                  <c:pt idx="1">
                    <c:v>BE</c:v>
                  </c:pt>
                  <c:pt idx="2">
                    <c:v>CY</c:v>
                  </c:pt>
                  <c:pt idx="3">
                    <c:v>CZ</c:v>
                  </c:pt>
                  <c:pt idx="4">
                    <c:v>DE</c:v>
                  </c:pt>
                  <c:pt idx="5">
                    <c:v>DK</c:v>
                  </c:pt>
                  <c:pt idx="6">
                    <c:v>EE</c:v>
                  </c:pt>
                  <c:pt idx="7">
                    <c:v>EL</c:v>
                  </c:pt>
                  <c:pt idx="8">
                    <c:v>ES</c:v>
                  </c:pt>
                  <c:pt idx="9">
                    <c:v>FI</c:v>
                  </c:pt>
                  <c:pt idx="10">
                    <c:v>FR</c:v>
                  </c:pt>
                  <c:pt idx="11">
                    <c:v>HR</c:v>
                  </c:pt>
                  <c:pt idx="12">
                    <c:v>HU</c:v>
                  </c:pt>
                  <c:pt idx="13">
                    <c:v>IE</c:v>
                  </c:pt>
                  <c:pt idx="14">
                    <c:v>IT</c:v>
                  </c:pt>
                  <c:pt idx="15">
                    <c:v>LT</c:v>
                  </c:pt>
                  <c:pt idx="16">
                    <c:v>LU</c:v>
                  </c:pt>
                  <c:pt idx="17">
                    <c:v>LV</c:v>
                  </c:pt>
                  <c:pt idx="18">
                    <c:v>MT</c:v>
                  </c:pt>
                  <c:pt idx="19">
                    <c:v>NL</c:v>
                  </c:pt>
                  <c:pt idx="20">
                    <c:v>NO</c:v>
                  </c:pt>
                  <c:pt idx="21">
                    <c:v>PL</c:v>
                  </c:pt>
                  <c:pt idx="22">
                    <c:v>PT</c:v>
                  </c:pt>
                  <c:pt idx="23">
                    <c:v>RO</c:v>
                  </c:pt>
                  <c:pt idx="24">
                    <c:v>SE</c:v>
                  </c:pt>
                  <c:pt idx="25">
                    <c:v>SI</c:v>
                  </c:pt>
                  <c:pt idx="26">
                    <c:v>SK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DE72-44ED-B401-B7D90D3EF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1245536"/>
        <c:axId val="1771246496"/>
      </c:scatterChart>
      <c:valAx>
        <c:axId val="177124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 sz="1000" b="0" i="0" u="none" strike="noStrike" kern="1200" baseline="0">
                    <a:solidFill>
                      <a:sysClr val="windowText" lastClr="000000"/>
                    </a:solidFill>
                  </a:rPr>
                  <a:t>Pääomakanta suhteessa tehtyihin työtunteihin</a:t>
                </a:r>
              </a:p>
            </c:rich>
          </c:tx>
          <c:layout>
            <c:manualLayout>
              <c:xMode val="edge"/>
              <c:yMode val="edge"/>
              <c:x val="0.24974513888888888"/>
              <c:y val="0.915311111111111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771246496"/>
        <c:crosses val="autoZero"/>
        <c:crossBetween val="midCat"/>
      </c:valAx>
      <c:valAx>
        <c:axId val="1771246496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Tuottavuus</a:t>
                </a:r>
              </a:p>
            </c:rich>
          </c:tx>
          <c:layout>
            <c:manualLayout>
              <c:xMode val="edge"/>
              <c:yMode val="edge"/>
              <c:x val="1.7390277777777779E-2"/>
              <c:y val="0.34568506944444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771245536"/>
        <c:crosses val="autoZero"/>
        <c:crossBetween val="midCat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</a:defRPr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i-FI" sz="1200" b="0" i="0" u="none" strike="noStrike" kern="1200" spc="0" baseline="0">
                <a:solidFill>
                  <a:sysClr val="windowText" lastClr="000000"/>
                </a:solidFill>
              </a:rPr>
              <a:t>Informaatio ja viestintä</a:t>
            </a:r>
          </a:p>
        </c:rich>
      </c:tx>
      <c:layout>
        <c:manualLayout>
          <c:xMode val="edge"/>
          <c:yMode val="edge"/>
          <c:x val="0.19383645833333332"/>
          <c:y val="8.819629629629630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>
        <c:manualLayout>
          <c:layoutTarget val="inner"/>
          <c:xMode val="edge"/>
          <c:yMode val="edge"/>
          <c:x val="0.17964687500000001"/>
          <c:y val="0.11429892141756548"/>
          <c:w val="0.75461527777777782"/>
          <c:h val="0.68390548423367559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8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7A4-4579-9479-39C0C7393A3C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7A4-4579-9479-39C0C7393A3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C2E6ED4-85C2-4F6F-98BD-723AFB0D5E0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7A4-4579-9479-39C0C7393A3C}"/>
                </c:ext>
              </c:extLst>
            </c:dLbl>
            <c:dLbl>
              <c:idx val="1"/>
              <c:layout>
                <c:manualLayout>
                  <c:x val="-6.6145833333333334E-2"/>
                  <c:y val="6.1148148148148146E-2"/>
                </c:manualLayout>
              </c:layout>
              <c:tx>
                <c:rich>
                  <a:bodyPr/>
                  <a:lstStyle/>
                  <a:p>
                    <a:fld id="{E57FDD00-3600-4B4C-AB92-F6966CB69E6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7A4-4579-9479-39C0C7393A3C}"/>
                </c:ext>
              </c:extLst>
            </c:dLbl>
            <c:dLbl>
              <c:idx val="2"/>
              <c:layout>
                <c:manualLayout>
                  <c:x val="-3.5277777777777776E-2"/>
                  <c:y val="4.2092904896550147E-2"/>
                </c:manualLayout>
              </c:layout>
              <c:tx>
                <c:rich>
                  <a:bodyPr/>
                  <a:lstStyle/>
                  <a:p>
                    <a:fld id="{EDC80406-5BD0-4CF9-8460-C4DCB5DCBA2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7A4-4579-9479-39C0C7393A3C}"/>
                </c:ext>
              </c:extLst>
            </c:dLbl>
            <c:dLbl>
              <c:idx val="3"/>
              <c:layout>
                <c:manualLayout>
                  <c:x val="-7.4965277777777853E-2"/>
                  <c:y val="-3.7415915463600131E-2"/>
                </c:manualLayout>
              </c:layout>
              <c:tx>
                <c:rich>
                  <a:bodyPr/>
                  <a:lstStyle/>
                  <a:p>
                    <a:fld id="{F800F37F-9E12-40A8-B874-B01A5CD0EDC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7A4-4579-9479-39C0C7393A3C}"/>
                </c:ext>
              </c:extLst>
            </c:dLbl>
            <c:dLbl>
              <c:idx val="4"/>
              <c:layout>
                <c:manualLayout>
                  <c:x val="-3.5277777777777776E-2"/>
                  <c:y val="-5.6123873195400201E-2"/>
                </c:manualLayout>
              </c:layout>
              <c:tx>
                <c:rich>
                  <a:bodyPr/>
                  <a:lstStyle/>
                  <a:p>
                    <a:fld id="{2316417B-68A0-4B7D-9272-8173F9ABE55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7A4-4579-9479-39C0C7393A3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6972F00-8C50-499B-9304-D4F151216C12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7A4-4579-9479-39C0C7393A3C}"/>
                </c:ext>
              </c:extLst>
            </c:dLbl>
            <c:dLbl>
              <c:idx val="6"/>
              <c:layout>
                <c:manualLayout>
                  <c:x val="-7.0555555555555594E-2"/>
                  <c:y val="-3.7415915463600222E-2"/>
                </c:manualLayout>
              </c:layout>
              <c:tx>
                <c:rich>
                  <a:bodyPr/>
                  <a:lstStyle/>
                  <a:p>
                    <a:fld id="{1E45FB5E-CB51-4581-B801-543FB41A13F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77A4-4579-9479-39C0C7393A3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8044A04-1DD6-4637-9B4F-6C1118BCE335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7A4-4579-9479-39C0C7393A3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733B16E-3592-48DF-8C34-D0AF8D950E08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7A4-4579-9479-39C0C7393A3C}"/>
                </c:ext>
              </c:extLst>
            </c:dLbl>
            <c:dLbl>
              <c:idx val="9"/>
              <c:layout>
                <c:manualLayout>
                  <c:x val="-9.7013888888888886E-2"/>
                  <c:y val="-1.4030968298850094E-2"/>
                </c:manualLayout>
              </c:layout>
              <c:tx>
                <c:rich>
                  <a:bodyPr/>
                  <a:lstStyle/>
                  <a:p>
                    <a:fld id="{6BDB9B2D-4DC4-490A-B3EA-F4118B48350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7A4-4579-9479-39C0C7393A3C}"/>
                </c:ext>
              </c:extLst>
            </c:dLbl>
            <c:dLbl>
              <c:idx val="10"/>
              <c:layout>
                <c:manualLayout>
                  <c:x val="0"/>
                  <c:y val="-1.8707957731800152E-2"/>
                </c:manualLayout>
              </c:layout>
              <c:tx>
                <c:rich>
                  <a:bodyPr/>
                  <a:lstStyle/>
                  <a:p>
                    <a:fld id="{C32FA206-3BE8-4600-B804-FB7B92BD3F0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77A4-4579-9479-39C0C7393A3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1DE6EEA-A942-4F76-88A3-A104D4CFE6A9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7A4-4579-9479-39C0C7393A3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2A7C8F5-6396-4505-93E4-5950FC03717A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7A4-4579-9479-39C0C7393A3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i-FI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7A4-4579-9479-39C0C7393A3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E2BEC8D-DF43-4009-A322-603DE30EAFB6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7A4-4579-9479-39C0C7393A3C}"/>
                </c:ext>
              </c:extLst>
            </c:dLbl>
            <c:dLbl>
              <c:idx val="15"/>
              <c:layout>
                <c:manualLayout>
                  <c:x val="-8.819444444444444E-3"/>
                  <c:y val="4.6769894329500079E-2"/>
                </c:manualLayout>
              </c:layout>
              <c:tx>
                <c:rich>
                  <a:bodyPr/>
                  <a:lstStyle/>
                  <a:p>
                    <a:fld id="{0807B72D-62EC-4375-882D-D336B9A27FE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77A4-4579-9479-39C0C7393A3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i-FI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7A4-4579-9479-39C0C7393A3C}"/>
                </c:ext>
              </c:extLst>
            </c:dLbl>
            <c:dLbl>
              <c:idx val="17"/>
              <c:layout>
                <c:manualLayout>
                  <c:x val="-6.173611111111111E-2"/>
                  <c:y val="4.6769894329500163E-2"/>
                </c:manualLayout>
              </c:layout>
              <c:tx>
                <c:rich>
                  <a:bodyPr/>
                  <a:lstStyle/>
                  <a:p>
                    <a:fld id="{60DE113C-0647-457A-B747-E8B56C38630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77A4-4579-9479-39C0C7393A3C}"/>
                </c:ext>
              </c:extLst>
            </c:dLbl>
            <c:dLbl>
              <c:idx val="18"/>
              <c:layout>
                <c:manualLayout>
                  <c:x val="-0.12347222222222226"/>
                  <c:y val="4.6769894329500164E-3"/>
                </c:manualLayout>
              </c:layout>
              <c:tx>
                <c:rich>
                  <a:bodyPr/>
                  <a:lstStyle/>
                  <a:p>
                    <a:fld id="{51B424F9-F67F-4FE1-8BEB-CDBEB54876C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77A4-4579-9479-39C0C7393A3C}"/>
                </c:ext>
              </c:extLst>
            </c:dLbl>
            <c:dLbl>
              <c:idx val="19"/>
              <c:layout>
                <c:manualLayout>
                  <c:x val="-1.3229166666666747E-2"/>
                  <c:y val="-1.8707957731800066E-2"/>
                </c:manualLayout>
              </c:layout>
              <c:tx>
                <c:rich>
                  <a:bodyPr/>
                  <a:lstStyle/>
                  <a:p>
                    <a:fld id="{42CC4C6E-259B-4373-8C9D-8B9C1C4E134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77A4-4579-9479-39C0C7393A3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6085D05-9100-4AE8-8AA2-F5974AAA77AC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7A4-4579-9479-39C0C7393A3C}"/>
                </c:ext>
              </c:extLst>
            </c:dLbl>
            <c:dLbl>
              <c:idx val="21"/>
              <c:layout>
                <c:manualLayout>
                  <c:x val="-6.173611111111111E-2"/>
                  <c:y val="-4.6769894329500253E-2"/>
                </c:manualLayout>
              </c:layout>
              <c:tx>
                <c:rich>
                  <a:bodyPr/>
                  <a:lstStyle/>
                  <a:p>
                    <a:fld id="{C7B35DFB-16AD-47FF-8329-1FB0A00D20B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77A4-4579-9479-39C0C7393A3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AE8C14C-0341-44DB-81FF-BC42B2180D28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77A4-4579-9479-39C0C7393A3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99C1EF6-9292-479A-A28E-8AF235BB47A2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7A4-4579-9479-39C0C7393A3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A686F477-BD5B-4E3A-A128-1B6021ABFF18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77A4-4579-9479-39C0C7393A3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6CAAF5AF-F611-4B1D-82CD-DE3342267FAD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77A4-4579-9479-39C0C7393A3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01B8E1E5-FE94-4EE5-86A3-1AB981F22B63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77A4-4579-9479-39C0C7393A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i-FI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9411111111111025E-2"/>
                  <c:y val="0.46785444444444446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i-FI"/>
                </a:p>
              </c:txPr>
            </c:trendlineLbl>
          </c:trendline>
          <c:xVal>
            <c:numRef>
              <c:f>kuvio2!$O$8:$O$34</c:f>
              <c:numCache>
                <c:formatCode>0.0</c:formatCode>
                <c:ptCount val="27"/>
                <c:pt idx="0">
                  <c:v>83.762500000000003</c:v>
                </c:pt>
                <c:pt idx="1">
                  <c:v>113.7971</c:v>
                </c:pt>
                <c:pt idx="2">
                  <c:v>77.213300000000004</c:v>
                </c:pt>
                <c:pt idx="3">
                  <c:v>51.2057</c:v>
                </c:pt>
                <c:pt idx="4">
                  <c:v>74.997699999999995</c:v>
                </c:pt>
                <c:pt idx="5">
                  <c:v>156.05359999999999</c:v>
                </c:pt>
                <c:pt idx="6">
                  <c:v>32.885400000000004</c:v>
                </c:pt>
                <c:pt idx="7">
                  <c:v>68.843900000000005</c:v>
                </c:pt>
                <c:pt idx="8">
                  <c:v>114.11150000000001</c:v>
                </c:pt>
                <c:pt idx="9">
                  <c:v>68.396299999999997</c:v>
                </c:pt>
                <c:pt idx="10">
                  <c:v>70.704300000000003</c:v>
                </c:pt>
                <c:pt idx="11">
                  <c:v>48.529700000000005</c:v>
                </c:pt>
                <c:pt idx="12">
                  <c:v>48.776699999999998</c:v>
                </c:pt>
                <c:pt idx="14">
                  <c:v>100.992</c:v>
                </c:pt>
                <c:pt idx="15">
                  <c:v>49.1143</c:v>
                </c:pt>
                <c:pt idx="17">
                  <c:v>32.916199999999996</c:v>
                </c:pt>
                <c:pt idx="18">
                  <c:v>59.536299999999997</c:v>
                </c:pt>
                <c:pt idx="19">
                  <c:v>80.246099999999998</c:v>
                </c:pt>
                <c:pt idx="20">
                  <c:v>109.3077</c:v>
                </c:pt>
                <c:pt idx="21">
                  <c:v>15.396099999999999</c:v>
                </c:pt>
                <c:pt idx="22">
                  <c:v>52.241599999999998</c:v>
                </c:pt>
                <c:pt idx="23">
                  <c:v>55.735500000000002</c:v>
                </c:pt>
                <c:pt idx="24">
                  <c:v>167.81889999999999</c:v>
                </c:pt>
                <c:pt idx="25">
                  <c:v>57.8568</c:v>
                </c:pt>
                <c:pt idx="26">
                  <c:v>58.136499999999998</c:v>
                </c:pt>
              </c:numCache>
            </c:numRef>
          </c:xVal>
          <c:yVal>
            <c:numRef>
              <c:f>kuvio2!$N$8:$N$34</c:f>
              <c:numCache>
                <c:formatCode>0.0</c:formatCode>
                <c:ptCount val="27"/>
                <c:pt idx="0">
                  <c:v>64.288420000000002</c:v>
                </c:pt>
                <c:pt idx="1">
                  <c:v>92.49494</c:v>
                </c:pt>
                <c:pt idx="2">
                  <c:v>61.296309999999998</c:v>
                </c:pt>
                <c:pt idx="3">
                  <c:v>42.873220000000003</c:v>
                </c:pt>
                <c:pt idx="4">
                  <c:v>77.124300000000005</c:v>
                </c:pt>
                <c:pt idx="5">
                  <c:v>88.397599999999997</c:v>
                </c:pt>
                <c:pt idx="6">
                  <c:v>28.002289999999999</c:v>
                </c:pt>
                <c:pt idx="7">
                  <c:v>25.13655</c:v>
                </c:pt>
                <c:pt idx="8">
                  <c:v>47.70232</c:v>
                </c:pt>
                <c:pt idx="9">
                  <c:v>72.414730000000006</c:v>
                </c:pt>
                <c:pt idx="10">
                  <c:v>73.493129999999994</c:v>
                </c:pt>
                <c:pt idx="11">
                  <c:v>25.22589</c:v>
                </c:pt>
                <c:pt idx="12">
                  <c:v>26.913350000000001</c:v>
                </c:pt>
                <c:pt idx="14">
                  <c:v>54.089010000000002</c:v>
                </c:pt>
                <c:pt idx="15">
                  <c:v>19.379079999999998</c:v>
                </c:pt>
                <c:pt idx="17">
                  <c:v>23.00665</c:v>
                </c:pt>
                <c:pt idx="18">
                  <c:v>68.388270000000006</c:v>
                </c:pt>
                <c:pt idx="19">
                  <c:v>64.993549999999999</c:v>
                </c:pt>
                <c:pt idx="20">
                  <c:v>95.352729999999994</c:v>
                </c:pt>
                <c:pt idx="21">
                  <c:v>26.240220000000001</c:v>
                </c:pt>
                <c:pt idx="22">
                  <c:v>30.87077</c:v>
                </c:pt>
                <c:pt idx="23">
                  <c:v>40.576439999999998</c:v>
                </c:pt>
                <c:pt idx="24">
                  <c:v>107.3643</c:v>
                </c:pt>
                <c:pt idx="25">
                  <c:v>33.598120000000002</c:v>
                </c:pt>
                <c:pt idx="26">
                  <c:v>31.51022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kuvio2!$A$8:$A$34</c15:f>
                <c15:dlblRangeCache>
                  <c:ptCount val="27"/>
                  <c:pt idx="0">
                    <c:v>AT</c:v>
                  </c:pt>
                  <c:pt idx="1">
                    <c:v>BE</c:v>
                  </c:pt>
                  <c:pt idx="2">
                    <c:v>CY</c:v>
                  </c:pt>
                  <c:pt idx="3">
                    <c:v>CZ</c:v>
                  </c:pt>
                  <c:pt idx="4">
                    <c:v>DE</c:v>
                  </c:pt>
                  <c:pt idx="5">
                    <c:v>DK</c:v>
                  </c:pt>
                  <c:pt idx="6">
                    <c:v>EE</c:v>
                  </c:pt>
                  <c:pt idx="7">
                    <c:v>EL</c:v>
                  </c:pt>
                  <c:pt idx="8">
                    <c:v>ES</c:v>
                  </c:pt>
                  <c:pt idx="9">
                    <c:v>FI</c:v>
                  </c:pt>
                  <c:pt idx="10">
                    <c:v>FR</c:v>
                  </c:pt>
                  <c:pt idx="11">
                    <c:v>HR</c:v>
                  </c:pt>
                  <c:pt idx="12">
                    <c:v>HU</c:v>
                  </c:pt>
                  <c:pt idx="13">
                    <c:v>IE</c:v>
                  </c:pt>
                  <c:pt idx="14">
                    <c:v>IT</c:v>
                  </c:pt>
                  <c:pt idx="15">
                    <c:v>LT</c:v>
                  </c:pt>
                  <c:pt idx="16">
                    <c:v>LU</c:v>
                  </c:pt>
                  <c:pt idx="17">
                    <c:v>LV</c:v>
                  </c:pt>
                  <c:pt idx="18">
                    <c:v>MT</c:v>
                  </c:pt>
                  <c:pt idx="19">
                    <c:v>NL</c:v>
                  </c:pt>
                  <c:pt idx="20">
                    <c:v>NO</c:v>
                  </c:pt>
                  <c:pt idx="21">
                    <c:v>PL</c:v>
                  </c:pt>
                  <c:pt idx="22">
                    <c:v>PT</c:v>
                  </c:pt>
                  <c:pt idx="23">
                    <c:v>RO</c:v>
                  </c:pt>
                  <c:pt idx="24">
                    <c:v>SE</c:v>
                  </c:pt>
                  <c:pt idx="25">
                    <c:v>SI</c:v>
                  </c:pt>
                  <c:pt idx="26">
                    <c:v>SK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77A4-4579-9479-39C0C7393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1245536"/>
        <c:axId val="1771246496"/>
      </c:scatterChart>
      <c:valAx>
        <c:axId val="177124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 sz="1000" b="0" i="0" u="none" strike="noStrike" kern="1200" baseline="0">
                    <a:solidFill>
                      <a:sysClr val="windowText" lastClr="000000"/>
                    </a:solidFill>
                  </a:rPr>
                  <a:t>Pääomakanta suhteessa tehtyihin työtunteihin</a:t>
                </a:r>
              </a:p>
            </c:rich>
          </c:tx>
          <c:layout>
            <c:manualLayout>
              <c:xMode val="edge"/>
              <c:yMode val="edge"/>
              <c:x val="0.24974513888888888"/>
              <c:y val="0.915311111111111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771246496"/>
        <c:crosses val="autoZero"/>
        <c:crossBetween val="midCat"/>
      </c:valAx>
      <c:valAx>
        <c:axId val="177124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Tuottavuus</a:t>
                </a:r>
              </a:p>
            </c:rich>
          </c:tx>
          <c:layout>
            <c:manualLayout>
              <c:xMode val="edge"/>
              <c:yMode val="edge"/>
              <c:x val="1.7390277777777779E-2"/>
              <c:y val="0.34568506944444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771245536"/>
        <c:crosses val="autoZero"/>
        <c:crossBetween val="midCat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</a:defRPr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200" b="0" i="0" u="none" strike="noStrike" kern="1200" spc="0" baseline="0">
                <a:solidFill>
                  <a:sysClr val="windowText" lastClr="000000"/>
                </a:solidFill>
                <a:effectLst/>
              </a:rPr>
              <a:t>Rahoitus- ja vakuutustoiminta</a:t>
            </a:r>
            <a:endParaRPr lang="fi-FI" sz="1200" b="0" i="0" u="none" strike="noStrike" kern="1200" spc="0" baseline="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9383645833333332"/>
          <c:y val="8.819629629629630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>
        <c:manualLayout>
          <c:layoutTarget val="inner"/>
          <c:xMode val="edge"/>
          <c:yMode val="edge"/>
          <c:x val="0.17964687500000001"/>
          <c:y val="0.11429892141756548"/>
          <c:w val="0.75461527777777782"/>
          <c:h val="0.65985730911145601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8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86E-49CA-B903-C4256C0BE931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86E-49CA-B903-C4256C0BE93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DEEA5FE-03CA-44BA-9416-415E16AA76E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86E-49CA-B903-C4256C0BE931}"/>
                </c:ext>
              </c:extLst>
            </c:dLbl>
            <c:dLbl>
              <c:idx val="1"/>
              <c:layout>
                <c:manualLayout>
                  <c:x val="-6.6145833333333334E-2"/>
                  <c:y val="6.1148148148148146E-2"/>
                </c:manualLayout>
              </c:layout>
              <c:tx>
                <c:rich>
                  <a:bodyPr/>
                  <a:lstStyle/>
                  <a:p>
                    <a:fld id="{116BA446-167E-491B-9677-DAE4E0EB131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86E-49CA-B903-C4256C0BE93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451292C-F056-40E4-AC64-7B958678F2CD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86E-49CA-B903-C4256C0BE93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1927DDE-054D-4857-A0AC-FFB1136F70EE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86E-49CA-B903-C4256C0BE93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741E1CE-B2AA-4425-B8BD-398250A0B075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86E-49CA-B903-C4256C0BE93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7DDDFA2-9415-4DED-BCD9-AD21D5E45ED8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86E-49CA-B903-C4256C0BE93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7AD4752-AC22-4382-BD99-23F9FA2BBF5F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86E-49CA-B903-C4256C0BE93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C8931DB-D3ED-4FA4-8436-2C1C016AB6ED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86E-49CA-B903-C4256C0BE93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88F3CF4-16AF-42CE-AC56-FDBA46284875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86E-49CA-B903-C4256C0BE93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94625C5-1170-4382-9806-E76BE23432B0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86E-49CA-B903-C4256C0BE93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D5AE438-43BF-450B-AEBE-800095BB04F7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86E-49CA-B903-C4256C0BE93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9D4FF2F-0B26-4C08-9470-66198D7805F3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86E-49CA-B903-C4256C0BE93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CC8FC77-E176-4451-BBD8-357899CC1BC7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86E-49CA-B903-C4256C0BE93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7A9813D-0FA2-471C-BBAC-3E146E22195A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86E-49CA-B903-C4256C0BE93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4548EBA-6D0E-4F19-9DFE-F42755F4E7C2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86E-49CA-B903-C4256C0BE93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00CD9ED-8595-4929-B28E-D0051AF196E2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86E-49CA-B903-C4256C0BE93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i-FI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86E-49CA-B903-C4256C0BE93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808C84D-B9E4-4572-B09E-F2593A4A2F17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86E-49CA-B903-C4256C0BE93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8B9AF6E-8457-4200-88E4-A148CE17004E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86E-49CA-B903-C4256C0BE93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D16F8AE-E6AE-4EE1-A429-2766CB60D966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86E-49CA-B903-C4256C0BE93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06B79C0-C657-41A0-8E37-E9AF4CB374FE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86E-49CA-B903-C4256C0BE93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9F348A4-5928-4257-A445-E1B9F7A4E154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786E-49CA-B903-C4256C0BE93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8E5721C-A6F5-49AD-ACA5-648D40E2C016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786E-49CA-B903-C4256C0BE93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31A1706-A1F0-4BC6-9C00-0FA4120E88A1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86E-49CA-B903-C4256C0BE93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FB96CD45-B418-4376-B7AE-B1FD625E0CBC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786E-49CA-B903-C4256C0BE93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F9ECCF46-0C79-4BFB-B03F-CD5869060DC5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786E-49CA-B903-C4256C0BE93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326544D-6C31-4C3C-AF49-3DEF407E051F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786E-49CA-B903-C4256C0BE9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i-FI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3147222222222224E-2"/>
                  <c:y val="0.51129370370370375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i-FI"/>
                </a:p>
              </c:txPr>
            </c:trendlineLbl>
          </c:trendline>
          <c:xVal>
            <c:numRef>
              <c:f>kuvio2!$U$8:$U$34</c:f>
              <c:numCache>
                <c:formatCode>0.0</c:formatCode>
                <c:ptCount val="27"/>
                <c:pt idx="0">
                  <c:v>128.3682</c:v>
                </c:pt>
                <c:pt idx="1">
                  <c:v>206.5196</c:v>
                </c:pt>
                <c:pt idx="2">
                  <c:v>12.624500000000001</c:v>
                </c:pt>
                <c:pt idx="3">
                  <c:v>50.9527</c:v>
                </c:pt>
                <c:pt idx="4">
                  <c:v>99.243799999999993</c:v>
                </c:pt>
                <c:pt idx="5">
                  <c:v>135.3098</c:v>
                </c:pt>
                <c:pt idx="6">
                  <c:v>20.700400000000002</c:v>
                </c:pt>
                <c:pt idx="7">
                  <c:v>32.928100000000001</c:v>
                </c:pt>
                <c:pt idx="8">
                  <c:v>80.203699999999998</c:v>
                </c:pt>
                <c:pt idx="9">
                  <c:v>26.4758</c:v>
                </c:pt>
                <c:pt idx="10">
                  <c:v>93.614199999999997</c:v>
                </c:pt>
                <c:pt idx="11">
                  <c:v>55.4681</c:v>
                </c:pt>
                <c:pt idx="12">
                  <c:v>31.261400000000002</c:v>
                </c:pt>
                <c:pt idx="13">
                  <c:v>72.78370000000001</c:v>
                </c:pt>
                <c:pt idx="14">
                  <c:v>75.251199999999997</c:v>
                </c:pt>
                <c:pt idx="15">
                  <c:v>17.593399999999999</c:v>
                </c:pt>
                <c:pt idx="17">
                  <c:v>29.957100000000001</c:v>
                </c:pt>
                <c:pt idx="18">
                  <c:v>35.701099999999997</c:v>
                </c:pt>
                <c:pt idx="19">
                  <c:v>134.54250000000002</c:v>
                </c:pt>
                <c:pt idx="20">
                  <c:v>171.71080000000001</c:v>
                </c:pt>
                <c:pt idx="21">
                  <c:v>12.871600000000001</c:v>
                </c:pt>
                <c:pt idx="22">
                  <c:v>60.894500000000001</c:v>
                </c:pt>
                <c:pt idx="23">
                  <c:v>74.009599999999992</c:v>
                </c:pt>
                <c:pt idx="24">
                  <c:v>94.123199999999997</c:v>
                </c:pt>
                <c:pt idx="25">
                  <c:v>66.356799999999993</c:v>
                </c:pt>
                <c:pt idx="26">
                  <c:v>48.1008</c:v>
                </c:pt>
              </c:numCache>
            </c:numRef>
          </c:xVal>
          <c:yVal>
            <c:numRef>
              <c:f>kuvio2!$T$8:$T$34</c:f>
              <c:numCache>
                <c:formatCode>0.0</c:formatCode>
                <c:ptCount val="27"/>
                <c:pt idx="0">
                  <c:v>86.052149999999997</c:v>
                </c:pt>
                <c:pt idx="1">
                  <c:v>153.88310000000001</c:v>
                </c:pt>
                <c:pt idx="2">
                  <c:v>55.397649999999999</c:v>
                </c:pt>
                <c:pt idx="3">
                  <c:v>64.426450000000003</c:v>
                </c:pt>
                <c:pt idx="4">
                  <c:v>83.475840000000005</c:v>
                </c:pt>
                <c:pt idx="5">
                  <c:v>142.4023</c:v>
                </c:pt>
                <c:pt idx="6">
                  <c:v>42.676099999999998</c:v>
                </c:pt>
                <c:pt idx="7">
                  <c:v>49.618920000000003</c:v>
                </c:pt>
                <c:pt idx="8">
                  <c:v>66.783119999999997</c:v>
                </c:pt>
                <c:pt idx="9">
                  <c:v>96.387659999999997</c:v>
                </c:pt>
                <c:pt idx="10">
                  <c:v>78.435190000000006</c:v>
                </c:pt>
                <c:pt idx="11">
                  <c:v>33.780619999999999</c:v>
                </c:pt>
                <c:pt idx="12">
                  <c:v>35.278060000000004</c:v>
                </c:pt>
                <c:pt idx="13">
                  <c:v>89.311089999999993</c:v>
                </c:pt>
                <c:pt idx="14">
                  <c:v>77.373189999999994</c:v>
                </c:pt>
                <c:pt idx="15">
                  <c:v>17.782589999999999</c:v>
                </c:pt>
                <c:pt idx="17">
                  <c:v>26.754000000000001</c:v>
                </c:pt>
                <c:pt idx="18">
                  <c:v>52.030889999999999</c:v>
                </c:pt>
                <c:pt idx="19">
                  <c:v>162.4872</c:v>
                </c:pt>
                <c:pt idx="20">
                  <c:v>239.34129999999999</c:v>
                </c:pt>
                <c:pt idx="21">
                  <c:v>19.761949999999999</c:v>
                </c:pt>
                <c:pt idx="22">
                  <c:v>57.931139999999999</c:v>
                </c:pt>
                <c:pt idx="23">
                  <c:v>31.001999999999999</c:v>
                </c:pt>
                <c:pt idx="24">
                  <c:v>142.18870000000001</c:v>
                </c:pt>
                <c:pt idx="25">
                  <c:v>56.37032</c:v>
                </c:pt>
                <c:pt idx="26">
                  <c:v>40.763260000000002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kuvio2!$A$8:$A$34</c15:f>
                <c15:dlblRangeCache>
                  <c:ptCount val="27"/>
                  <c:pt idx="0">
                    <c:v>AT</c:v>
                  </c:pt>
                  <c:pt idx="1">
                    <c:v>BE</c:v>
                  </c:pt>
                  <c:pt idx="2">
                    <c:v>CY</c:v>
                  </c:pt>
                  <c:pt idx="3">
                    <c:v>CZ</c:v>
                  </c:pt>
                  <c:pt idx="4">
                    <c:v>DE</c:v>
                  </c:pt>
                  <c:pt idx="5">
                    <c:v>DK</c:v>
                  </c:pt>
                  <c:pt idx="6">
                    <c:v>EE</c:v>
                  </c:pt>
                  <c:pt idx="7">
                    <c:v>EL</c:v>
                  </c:pt>
                  <c:pt idx="8">
                    <c:v>ES</c:v>
                  </c:pt>
                  <c:pt idx="9">
                    <c:v>FI</c:v>
                  </c:pt>
                  <c:pt idx="10">
                    <c:v>FR</c:v>
                  </c:pt>
                  <c:pt idx="11">
                    <c:v>HR</c:v>
                  </c:pt>
                  <c:pt idx="12">
                    <c:v>HU</c:v>
                  </c:pt>
                  <c:pt idx="13">
                    <c:v>IE</c:v>
                  </c:pt>
                  <c:pt idx="14">
                    <c:v>IT</c:v>
                  </c:pt>
                  <c:pt idx="15">
                    <c:v>LT</c:v>
                  </c:pt>
                  <c:pt idx="16">
                    <c:v>LU</c:v>
                  </c:pt>
                  <c:pt idx="17">
                    <c:v>LV</c:v>
                  </c:pt>
                  <c:pt idx="18">
                    <c:v>MT</c:v>
                  </c:pt>
                  <c:pt idx="19">
                    <c:v>NL</c:v>
                  </c:pt>
                  <c:pt idx="20">
                    <c:v>NO</c:v>
                  </c:pt>
                  <c:pt idx="21">
                    <c:v>PL</c:v>
                  </c:pt>
                  <c:pt idx="22">
                    <c:v>PT</c:v>
                  </c:pt>
                  <c:pt idx="23">
                    <c:v>RO</c:v>
                  </c:pt>
                  <c:pt idx="24">
                    <c:v>SE</c:v>
                  </c:pt>
                  <c:pt idx="25">
                    <c:v>SI</c:v>
                  </c:pt>
                  <c:pt idx="26">
                    <c:v>SK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786E-49CA-B903-C4256C0BE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1245536"/>
        <c:axId val="1771246496"/>
      </c:scatterChart>
      <c:valAx>
        <c:axId val="1771245536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 sz="1000" b="0" i="0" u="none" strike="noStrike" kern="1200" baseline="0">
                    <a:solidFill>
                      <a:sysClr val="windowText" lastClr="000000"/>
                    </a:solidFill>
                  </a:rPr>
                  <a:t>Pääomakanta suhteessa tehtyihin työtunteihin</a:t>
                </a:r>
              </a:p>
            </c:rich>
          </c:tx>
          <c:layout>
            <c:manualLayout>
              <c:xMode val="edge"/>
              <c:yMode val="edge"/>
              <c:x val="0.24974513888888888"/>
              <c:y val="0.915311111111111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771246496"/>
        <c:crosses val="autoZero"/>
        <c:crossBetween val="midCat"/>
        <c:majorUnit val="50"/>
      </c:valAx>
      <c:valAx>
        <c:axId val="1771246496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Tuottavuus</a:t>
                </a:r>
              </a:p>
            </c:rich>
          </c:tx>
          <c:layout>
            <c:manualLayout>
              <c:xMode val="edge"/>
              <c:yMode val="edge"/>
              <c:x val="4.1611111111111111E-3"/>
              <c:y val="0.345685185185185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771245536"/>
        <c:crosses val="autoZero"/>
        <c:crossBetween val="midCat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</a:defRPr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200" b="0" i="0" u="none" strike="noStrike" kern="1200" spc="0" baseline="0">
                <a:solidFill>
                  <a:sysClr val="windowText" lastClr="000000"/>
                </a:solidFill>
                <a:effectLst/>
              </a:rPr>
              <a:t>Ammatillinen, tieteellinen ja tekninen toiminta</a:t>
            </a:r>
            <a:endParaRPr lang="fi-FI" sz="1200" b="0" i="0" u="none" strike="noStrike" kern="1200" spc="0" baseline="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7619756944444445"/>
          <c:y val="8.8197453890419553E-3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>
        <c:manualLayout>
          <c:layoutTarget val="inner"/>
          <c:xMode val="edge"/>
          <c:yMode val="edge"/>
          <c:x val="0.17964687500000001"/>
          <c:y val="0.1425211111111111"/>
          <c:w val="0.76035902777777775"/>
          <c:h val="0.64608902715570127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8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A11-4FF7-9C6A-517D91B114C8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A11-4FF7-9C6A-517D91B114C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1EBFC6C-1EC1-43AA-8F44-ED2EB003710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A11-4FF7-9C6A-517D91B114C8}"/>
                </c:ext>
              </c:extLst>
            </c:dLbl>
            <c:dLbl>
              <c:idx val="1"/>
              <c:layout>
                <c:manualLayout>
                  <c:x val="-6.6145833333333334E-2"/>
                  <c:y val="6.1148148148148146E-2"/>
                </c:manualLayout>
              </c:layout>
              <c:tx>
                <c:rich>
                  <a:bodyPr/>
                  <a:lstStyle/>
                  <a:p>
                    <a:fld id="{AF290517-9DC3-4F3C-B924-A9E447CBB0E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A11-4FF7-9C6A-517D91B114C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7EE392D-BD51-4A0C-B206-9A404A7A53FE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A11-4FF7-9C6A-517D91B114C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D0FC710-64FE-4B30-AF25-CBED805CED45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A11-4FF7-9C6A-517D91B114C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7571E5B-4310-4878-BF0E-5A31CA080702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A11-4FF7-9C6A-517D91B114C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1467880-F703-4399-9503-4BFAC9D7C94A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A11-4FF7-9C6A-517D91B114C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7A35A14-5757-4040-A850-F14AE71EC7F2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A11-4FF7-9C6A-517D91B114C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C6BBC29-F8A6-44B6-B386-32FBF7B7BF50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A11-4FF7-9C6A-517D91B114C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D2A99DD-503C-48EF-8709-03F2C3452F97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A11-4FF7-9C6A-517D91B114C8}"/>
                </c:ext>
              </c:extLst>
            </c:dLbl>
            <c:dLbl>
              <c:idx val="9"/>
              <c:layout>
                <c:manualLayout>
                  <c:x val="-4.409722222222222E-3"/>
                  <c:y val="-2.8061936597700187E-2"/>
                </c:manualLayout>
              </c:layout>
              <c:tx>
                <c:rich>
                  <a:bodyPr/>
                  <a:lstStyle/>
                  <a:p>
                    <a:fld id="{13FB6E5B-E12D-4B22-8588-E2F970B02F7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A11-4FF7-9C6A-517D91B114C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5CEB67F-44A7-475B-9A0F-078B8AA4C2A8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A11-4FF7-9C6A-517D91B114C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3CC62FE-F216-422A-9927-3493FBF84BBA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A11-4FF7-9C6A-517D91B114C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EB0824B-4D69-43CE-A535-B55F7A7E3941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A11-4FF7-9C6A-517D91B114C8}"/>
                </c:ext>
              </c:extLst>
            </c:dLbl>
            <c:dLbl>
              <c:idx val="13"/>
              <c:layout>
                <c:manualLayout>
                  <c:x val="-0.10181403967157407"/>
                  <c:y val="1.9069069069069026E-2"/>
                </c:manualLayout>
              </c:layout>
              <c:tx>
                <c:rich>
                  <a:bodyPr/>
                  <a:lstStyle/>
                  <a:p>
                    <a:fld id="{3A6A70B1-0F0C-4DFB-B6E8-B455C7D6255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1A11-4FF7-9C6A-517D91B114C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989F4E1-ABE9-4B2A-A740-E5417A99BA09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A11-4FF7-9C6A-517D91B114C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E2D8CD1-5589-431C-8176-555A20018900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A11-4FF7-9C6A-517D91B114C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i-FI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A11-4FF7-9C6A-517D91B114C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AEA3D02-1E29-4126-844A-5B0A01606C26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A11-4FF7-9C6A-517D91B114C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BE82DDB-61E6-4779-8BD5-CF5E58DD4DEA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A11-4FF7-9C6A-517D91B114C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1B0B78C-BAD7-4ABD-B5BD-31671599B4AC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1A11-4FF7-9C6A-517D91B114C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45691EB-9C36-46F6-8E6B-09694F9FB7DF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1A11-4FF7-9C6A-517D91B114C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C682F6E-7183-476E-8520-25B116055577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1A11-4FF7-9C6A-517D91B114C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06DE001-B108-4793-B23A-D9B0AF61CB49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1A11-4FF7-9C6A-517D91B114C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AF1FA5B-312F-4532-9852-4D5F32A72F75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1A11-4FF7-9C6A-517D91B114C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7939106F-1EB3-42C8-BF64-9F8E4D8CABB3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1A11-4FF7-9C6A-517D91B114C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DAE8889-EBB6-42DD-91A9-646C3535C0B1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1A11-4FF7-9C6A-517D91B114C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E4432753-FFE2-4B64-80BA-CF9B68491780}" type="CELLRANGE">
                      <a:rPr lang="fi-FI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1A11-4FF7-9C6A-517D91B114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i-FI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3147222222222224E-2"/>
                  <c:y val="0.51129370370370375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i-FI"/>
                </a:p>
              </c:txPr>
            </c:trendlineLbl>
          </c:trendline>
          <c:xVal>
            <c:numRef>
              <c:f>kuvio2!$AA$8:$AA$34</c:f>
              <c:numCache>
                <c:formatCode>0.0</c:formatCode>
                <c:ptCount val="27"/>
                <c:pt idx="0">
                  <c:v>40.7669</c:v>
                </c:pt>
                <c:pt idx="1">
                  <c:v>36.0154</c:v>
                </c:pt>
                <c:pt idx="2">
                  <c:v>7.3435000000000006</c:v>
                </c:pt>
                <c:pt idx="3">
                  <c:v>22.950600000000001</c:v>
                </c:pt>
                <c:pt idx="4">
                  <c:v>41.742699999999999</c:v>
                </c:pt>
                <c:pt idx="5">
                  <c:v>49.524499999999996</c:v>
                </c:pt>
                <c:pt idx="6">
                  <c:v>42.292299999999997</c:v>
                </c:pt>
                <c:pt idx="7">
                  <c:v>6.3648000000000007</c:v>
                </c:pt>
                <c:pt idx="8">
                  <c:v>38.364100000000001</c:v>
                </c:pt>
                <c:pt idx="9">
                  <c:v>26.242699999999999</c:v>
                </c:pt>
                <c:pt idx="10">
                  <c:v>56.008000000000003</c:v>
                </c:pt>
                <c:pt idx="11">
                  <c:v>36.547999999999995</c:v>
                </c:pt>
                <c:pt idx="12">
                  <c:v>18.4542</c:v>
                </c:pt>
                <c:pt idx="13">
                  <c:v>77.224699999999999</c:v>
                </c:pt>
                <c:pt idx="14">
                  <c:v>28.387</c:v>
                </c:pt>
                <c:pt idx="15">
                  <c:v>20.602800000000002</c:v>
                </c:pt>
                <c:pt idx="17">
                  <c:v>22.343399999999999</c:v>
                </c:pt>
                <c:pt idx="18">
                  <c:v>19.5505</c:v>
                </c:pt>
                <c:pt idx="19">
                  <c:v>20.442599999999999</c:v>
                </c:pt>
                <c:pt idx="20">
                  <c:v>46.2517</c:v>
                </c:pt>
                <c:pt idx="21">
                  <c:v>7.7652999999999999</c:v>
                </c:pt>
                <c:pt idx="22">
                  <c:v>18.252800000000001</c:v>
                </c:pt>
                <c:pt idx="23">
                  <c:v>25.4938</c:v>
                </c:pt>
                <c:pt idx="24">
                  <c:v>90.394300000000001</c:v>
                </c:pt>
                <c:pt idx="25">
                  <c:v>32.130099999999999</c:v>
                </c:pt>
                <c:pt idx="26">
                  <c:v>25.826999999999998</c:v>
                </c:pt>
              </c:numCache>
            </c:numRef>
          </c:xVal>
          <c:yVal>
            <c:numRef>
              <c:f>kuvio2!$Z$8:$Z$34</c:f>
              <c:numCache>
                <c:formatCode>0.0</c:formatCode>
                <c:ptCount val="27"/>
                <c:pt idx="0">
                  <c:v>39.338709999999999</c:v>
                </c:pt>
                <c:pt idx="1">
                  <c:v>33.340000000000003</c:v>
                </c:pt>
                <c:pt idx="2">
                  <c:v>30.115639999999999</c:v>
                </c:pt>
                <c:pt idx="3">
                  <c:v>18.41818</c:v>
                </c:pt>
                <c:pt idx="4">
                  <c:v>53.072180000000003</c:v>
                </c:pt>
                <c:pt idx="5">
                  <c:v>64.360590000000002</c:v>
                </c:pt>
                <c:pt idx="6">
                  <c:v>27.9068</c:v>
                </c:pt>
                <c:pt idx="7">
                  <c:v>11.411149999999999</c:v>
                </c:pt>
                <c:pt idx="8">
                  <c:v>29.671659999999999</c:v>
                </c:pt>
                <c:pt idx="9">
                  <c:v>41.287280000000003</c:v>
                </c:pt>
                <c:pt idx="10">
                  <c:v>55.180549999999997</c:v>
                </c:pt>
                <c:pt idx="11">
                  <c:v>19.28406</c:v>
                </c:pt>
                <c:pt idx="12">
                  <c:v>18.565439999999999</c:v>
                </c:pt>
                <c:pt idx="13">
                  <c:v>76.493300000000005</c:v>
                </c:pt>
                <c:pt idx="14">
                  <c:v>36.980490000000003</c:v>
                </c:pt>
                <c:pt idx="15">
                  <c:v>18.73329</c:v>
                </c:pt>
                <c:pt idx="17">
                  <c:v>18.400230000000001</c:v>
                </c:pt>
                <c:pt idx="18">
                  <c:v>32.332079999999998</c:v>
                </c:pt>
                <c:pt idx="19">
                  <c:v>54.373060000000002</c:v>
                </c:pt>
                <c:pt idx="20">
                  <c:v>72.620750000000001</c:v>
                </c:pt>
                <c:pt idx="21">
                  <c:v>20.687760000000001</c:v>
                </c:pt>
                <c:pt idx="22">
                  <c:v>16.066410000000001</c:v>
                </c:pt>
                <c:pt idx="23">
                  <c:v>28.3049</c:v>
                </c:pt>
                <c:pt idx="24">
                  <c:v>77.955089999999998</c:v>
                </c:pt>
                <c:pt idx="25">
                  <c:v>21.053789999999999</c:v>
                </c:pt>
                <c:pt idx="26">
                  <c:v>26.192229999999999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kuvio2!$A$8:$A$34</c15:f>
                <c15:dlblRangeCache>
                  <c:ptCount val="27"/>
                  <c:pt idx="0">
                    <c:v>AT</c:v>
                  </c:pt>
                  <c:pt idx="1">
                    <c:v>BE</c:v>
                  </c:pt>
                  <c:pt idx="2">
                    <c:v>CY</c:v>
                  </c:pt>
                  <c:pt idx="3">
                    <c:v>CZ</c:v>
                  </c:pt>
                  <c:pt idx="4">
                    <c:v>DE</c:v>
                  </c:pt>
                  <c:pt idx="5">
                    <c:v>DK</c:v>
                  </c:pt>
                  <c:pt idx="6">
                    <c:v>EE</c:v>
                  </c:pt>
                  <c:pt idx="7">
                    <c:v>EL</c:v>
                  </c:pt>
                  <c:pt idx="8">
                    <c:v>ES</c:v>
                  </c:pt>
                  <c:pt idx="9">
                    <c:v>FI</c:v>
                  </c:pt>
                  <c:pt idx="10">
                    <c:v>FR</c:v>
                  </c:pt>
                  <c:pt idx="11">
                    <c:v>HR</c:v>
                  </c:pt>
                  <c:pt idx="12">
                    <c:v>HU</c:v>
                  </c:pt>
                  <c:pt idx="13">
                    <c:v>IE</c:v>
                  </c:pt>
                  <c:pt idx="14">
                    <c:v>IT</c:v>
                  </c:pt>
                  <c:pt idx="15">
                    <c:v>LT</c:v>
                  </c:pt>
                  <c:pt idx="16">
                    <c:v>LU</c:v>
                  </c:pt>
                  <c:pt idx="17">
                    <c:v>LV</c:v>
                  </c:pt>
                  <c:pt idx="18">
                    <c:v>MT</c:v>
                  </c:pt>
                  <c:pt idx="19">
                    <c:v>NL</c:v>
                  </c:pt>
                  <c:pt idx="20">
                    <c:v>NO</c:v>
                  </c:pt>
                  <c:pt idx="21">
                    <c:v>PL</c:v>
                  </c:pt>
                  <c:pt idx="22">
                    <c:v>PT</c:v>
                  </c:pt>
                  <c:pt idx="23">
                    <c:v>RO</c:v>
                  </c:pt>
                  <c:pt idx="24">
                    <c:v>SE</c:v>
                  </c:pt>
                  <c:pt idx="25">
                    <c:v>SI</c:v>
                  </c:pt>
                  <c:pt idx="26">
                    <c:v>SK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1A11-4FF7-9C6A-517D91B11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1245536"/>
        <c:axId val="1771246496"/>
      </c:scatterChart>
      <c:valAx>
        <c:axId val="177124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 sz="1000" b="0" i="0" u="none" strike="noStrike" kern="1200" baseline="0">
                    <a:solidFill>
                      <a:sysClr val="windowText" lastClr="000000"/>
                    </a:solidFill>
                  </a:rPr>
                  <a:t>Pääomakanta suhteessa tehtyihin työtunteihin</a:t>
                </a:r>
                <a:endParaRPr lang="fi-FI"/>
              </a:p>
            </c:rich>
          </c:tx>
          <c:layout>
            <c:manualLayout>
              <c:xMode val="edge"/>
              <c:yMode val="edge"/>
              <c:x val="0.24974513888888888"/>
              <c:y val="0.915311111111111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771246496"/>
        <c:crosses val="autoZero"/>
        <c:crossBetween val="midCat"/>
        <c:majorUnit val="20"/>
      </c:valAx>
      <c:valAx>
        <c:axId val="177124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Tuottavuus</a:t>
                </a:r>
              </a:p>
            </c:rich>
          </c:tx>
          <c:layout>
            <c:manualLayout>
              <c:xMode val="edge"/>
              <c:yMode val="edge"/>
              <c:x val="4.1611111111111111E-3"/>
              <c:y val="0.345685185185185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771245536"/>
        <c:crosses val="autoZero"/>
        <c:crossBetween val="midCat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</a:defRPr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kuvio3!$B$3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kuvio3!$A$4:$A$11</c:f>
              <c:strCache>
                <c:ptCount val="8"/>
                <c:pt idx="0">
                  <c:v>Tutkimus- ja kehittämistoiminta (M72)</c:v>
                </c:pt>
                <c:pt idx="1">
                  <c:v>Lakiasiain- ja laskentatoimen palvelut (M69)</c:v>
                </c:pt>
                <c:pt idx="2">
                  <c:v>Tietopalvelut (J63)</c:v>
                </c:pt>
                <c:pt idx="3">
                  <c:v>Ohjelmistojen suunnittelu ja valmistus (J62010)</c:v>
                </c:pt>
                <c:pt idx="4">
                  <c:v>Hotellit (I55101)</c:v>
                </c:pt>
                <c:pt idx="5">
                  <c:v>Varastointi ja liikennettä palveleva toiminta (H52)</c:v>
                </c:pt>
                <c:pt idx="6">
                  <c:v>Tieliikenteen tavarankuljetus (H49410)</c:v>
                </c:pt>
                <c:pt idx="7">
                  <c:v>Moottoriajoneuvojen huolto ja korjaus (G45201)</c:v>
                </c:pt>
              </c:strCache>
            </c:strRef>
          </c:cat>
          <c:val>
            <c:numRef>
              <c:f>kuvio3!$B$4:$B$11</c:f>
              <c:numCache>
                <c:formatCode>0.0</c:formatCode>
                <c:ptCount val="8"/>
                <c:pt idx="0">
                  <c:v>0.56041711353474033</c:v>
                </c:pt>
                <c:pt idx="1">
                  <c:v>0.52046581759902888</c:v>
                </c:pt>
                <c:pt idx="2">
                  <c:v>0.36875961324039813</c:v>
                </c:pt>
                <c:pt idx="3">
                  <c:v>0.74027109652474943</c:v>
                </c:pt>
                <c:pt idx="4">
                  <c:v>0.7675044559258174</c:v>
                </c:pt>
                <c:pt idx="5">
                  <c:v>0.6992538533569167</c:v>
                </c:pt>
                <c:pt idx="6">
                  <c:v>0.81980625852267697</c:v>
                </c:pt>
                <c:pt idx="7">
                  <c:v>0.70234147416820192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5-489B-A5A9-A03DD45909C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605946432"/>
        <c:axId val="1605950272"/>
      </c:barChart>
      <c:catAx>
        <c:axId val="1605946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950272"/>
        <c:crosses val="autoZero"/>
        <c:auto val="1"/>
        <c:lblAlgn val="ctr"/>
        <c:lblOffset val="100"/>
        <c:noMultiLvlLbl val="0"/>
      </c:catAx>
      <c:valAx>
        <c:axId val="160595027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94643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149499795848474E-2"/>
          <c:y val="0.13137770514928679"/>
          <c:w val="0.81197355862311471"/>
          <c:h val="0.620341381686332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kuvio4!$E$5</c:f>
              <c:strCache>
                <c:ptCount val="1"/>
                <c:pt idx="0">
                  <c:v>Jatkavat yritykset, ei yritysjärjestelyjä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kuvio4!$D$7:$D$10</c:f>
              <c:strCache>
                <c:ptCount val="4"/>
                <c:pt idx="0">
                  <c:v>2010–2013</c:v>
                </c:pt>
                <c:pt idx="1">
                  <c:v>2013–2016</c:v>
                </c:pt>
                <c:pt idx="2">
                  <c:v>2016–2019</c:v>
                </c:pt>
                <c:pt idx="3">
                  <c:v>2019–2022</c:v>
                </c:pt>
              </c:strCache>
            </c:strRef>
          </c:cat>
          <c:val>
            <c:numRef>
              <c:f>kuvio4!$E$7:$E$10</c:f>
              <c:numCache>
                <c:formatCode>0</c:formatCode>
                <c:ptCount val="4"/>
                <c:pt idx="0">
                  <c:v>1.0900000000000001</c:v>
                </c:pt>
                <c:pt idx="1">
                  <c:v>1.26</c:v>
                </c:pt>
                <c:pt idx="2">
                  <c:v>0.7</c:v>
                </c:pt>
                <c:pt idx="3">
                  <c:v>3.24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B-4FF3-A67D-B0B122E7F3DD}"/>
            </c:ext>
          </c:extLst>
        </c:ser>
        <c:ser>
          <c:idx val="4"/>
          <c:order val="1"/>
          <c:tx>
            <c:strRef>
              <c:f>kuvio4!$F$5</c:f>
              <c:strCache>
                <c:ptCount val="1"/>
                <c:pt idx="0">
                  <c:v>Yritysostoja tehneet jatkavat yritykset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kuvio4!$F$7:$F$10</c:f>
              <c:numCache>
                <c:formatCode>0</c:formatCode>
                <c:ptCount val="4"/>
                <c:pt idx="0">
                  <c:v>-4.24</c:v>
                </c:pt>
                <c:pt idx="1">
                  <c:v>-4.37</c:v>
                </c:pt>
                <c:pt idx="2">
                  <c:v>0</c:v>
                </c:pt>
                <c:pt idx="3">
                  <c:v>-0.05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8B-4FF3-A67D-B0B122E7F3DD}"/>
            </c:ext>
          </c:extLst>
        </c:ser>
        <c:ser>
          <c:idx val="1"/>
          <c:order val="2"/>
          <c:tx>
            <c:strRef>
              <c:f>kuvio4!$G$5</c:f>
              <c:strCache>
                <c:ptCount val="1"/>
                <c:pt idx="0">
                  <c:v>Aito markkinoille tulo ja poistuminen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kuvio4!$D$7:$D$10</c:f>
              <c:strCache>
                <c:ptCount val="4"/>
                <c:pt idx="0">
                  <c:v>2010–2013</c:v>
                </c:pt>
                <c:pt idx="1">
                  <c:v>2013–2016</c:v>
                </c:pt>
                <c:pt idx="2">
                  <c:v>2016–2019</c:v>
                </c:pt>
                <c:pt idx="3">
                  <c:v>2019–2022</c:v>
                </c:pt>
              </c:strCache>
            </c:strRef>
          </c:cat>
          <c:val>
            <c:numRef>
              <c:f>kuvio4!$G$7:$G$10</c:f>
              <c:numCache>
                <c:formatCode>0</c:formatCode>
                <c:ptCount val="4"/>
                <c:pt idx="0">
                  <c:v>0.25</c:v>
                </c:pt>
                <c:pt idx="1">
                  <c:v>0.38</c:v>
                </c:pt>
                <c:pt idx="2">
                  <c:v>-0.03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8B-4FF3-A67D-B0B122E7F3DD}"/>
            </c:ext>
          </c:extLst>
        </c:ser>
        <c:ser>
          <c:idx val="2"/>
          <c:order val="3"/>
          <c:tx>
            <c:strRef>
              <c:f>kuvio4!$I$5</c:f>
              <c:strCache>
                <c:ptCount val="1"/>
                <c:pt idx="0">
                  <c:v>Työvoiman uudelleenkohdentuminen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kuvio4!$D$7:$D$10</c:f>
              <c:strCache>
                <c:ptCount val="4"/>
                <c:pt idx="0">
                  <c:v>2010–2013</c:v>
                </c:pt>
                <c:pt idx="1">
                  <c:v>2013–2016</c:v>
                </c:pt>
                <c:pt idx="2">
                  <c:v>2016–2019</c:v>
                </c:pt>
                <c:pt idx="3">
                  <c:v>2019–2022</c:v>
                </c:pt>
              </c:strCache>
            </c:strRef>
          </c:cat>
          <c:val>
            <c:numRef>
              <c:f>kuvio4!$I$7:$I$10</c:f>
              <c:numCache>
                <c:formatCode>0</c:formatCode>
                <c:ptCount val="4"/>
                <c:pt idx="0">
                  <c:v>3.19</c:v>
                </c:pt>
                <c:pt idx="1">
                  <c:v>5.16</c:v>
                </c:pt>
                <c:pt idx="2">
                  <c:v>-2.93</c:v>
                </c:pt>
                <c:pt idx="3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8B-4FF3-A67D-B0B122E7F3DD}"/>
            </c:ext>
          </c:extLst>
        </c:ser>
        <c:ser>
          <c:idx val="5"/>
          <c:order val="5"/>
          <c:tx>
            <c:strRef>
              <c:f>kuvio4!$H$5</c:f>
              <c:strCache>
                <c:ptCount val="1"/>
                <c:pt idx="0">
                  <c:v>Yritysjärjestelyihin liittyvä markkinoille tulo ja poistuminen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kuvio4!$H$7:$H$10</c:f>
              <c:numCache>
                <c:formatCode>0</c:formatCode>
                <c:ptCount val="4"/>
                <c:pt idx="0">
                  <c:v>1.84</c:v>
                </c:pt>
                <c:pt idx="1">
                  <c:v>1.79</c:v>
                </c:pt>
                <c:pt idx="2">
                  <c:v>-0.03</c:v>
                </c:pt>
                <c:pt idx="3">
                  <c:v>-0.13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8B-4FF3-A67D-B0B122E7F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4003839"/>
        <c:axId val="1083993439"/>
      </c:barChart>
      <c:scatterChart>
        <c:scatterStyle val="lineMarker"/>
        <c:varyColors val="0"/>
        <c:ser>
          <c:idx val="3"/>
          <c:order val="4"/>
          <c:tx>
            <c:strRef>
              <c:f>kuvio4!$B$5</c:f>
              <c:strCache>
                <c:ptCount val="1"/>
                <c:pt idx="0">
                  <c:v>Työn tuottavuus yksityisissä palveluissa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4.6299945584079606E-2"/>
                  <c:y val="-4.50325936289604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8B-4FF3-A67D-B0B122E7F3DD}"/>
                </c:ext>
              </c:extLst>
            </c:dLbl>
            <c:dLbl>
              <c:idx val="1"/>
              <c:layout>
                <c:manualLayout>
                  <c:x val="5.9394159031389886E-2"/>
                  <c:y val="-4.28081909861600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58B-4FF3-A67D-B0B122E7F3DD}"/>
                </c:ext>
              </c:extLst>
            </c:dLbl>
            <c:dLbl>
              <c:idx val="2"/>
              <c:layout>
                <c:manualLayout>
                  <c:x val="8.5409252669038996E-2"/>
                  <c:y val="-0.108823529411764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8B-4FF3-A67D-B0B122E7F3DD}"/>
                </c:ext>
              </c:extLst>
            </c:dLbl>
            <c:dLbl>
              <c:idx val="3"/>
              <c:layout>
                <c:manualLayout>
                  <c:x val="2.1203176180140507E-2"/>
                  <c:y val="-5.33856634272124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58B-4FF3-A67D-B0B122E7F3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kuvio4!$B$7:$B$10</c:f>
              <c:numCache>
                <c:formatCode>General</c:formatCode>
                <c:ptCount val="4"/>
                <c:pt idx="0">
                  <c:v>2.13</c:v>
                </c:pt>
                <c:pt idx="1">
                  <c:v>4.22</c:v>
                </c:pt>
                <c:pt idx="2">
                  <c:v>-2.2799999999999998</c:v>
                </c:pt>
                <c:pt idx="3">
                  <c:v>3.99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58B-4FF3-A67D-B0B122E7F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003839"/>
        <c:axId val="1083993439"/>
      </c:scatterChart>
      <c:catAx>
        <c:axId val="108400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83993439"/>
        <c:crosses val="autoZero"/>
        <c:auto val="1"/>
        <c:lblAlgn val="ctr"/>
        <c:lblOffset val="100"/>
        <c:noMultiLvlLbl val="0"/>
      </c:catAx>
      <c:valAx>
        <c:axId val="1083993439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" sz="900" b="0" i="0" u="none" strike="noStrike" baseline="0"/>
                  <a:t>Kontribuutio työn tuottavuuden kasvuun (% vuodessa)</a:t>
                </a:r>
                <a:r>
                  <a:rPr lang="fi-FI" b="0"/>
                  <a:t>)</a:t>
                </a:r>
              </a:p>
            </c:rich>
          </c:tx>
          <c:layout>
            <c:manualLayout>
              <c:xMode val="edge"/>
              <c:yMode val="edge"/>
              <c:x val="1.0147955826142344E-2"/>
              <c:y val="2.1668085893917144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LID4096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8400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707704056385649E-2"/>
          <c:y val="0.8269001814070811"/>
          <c:w val="0.93320502584381515"/>
          <c:h val="0.150910880220188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358774</xdr:colOff>
      <xdr:row>4</xdr:row>
      <xdr:rowOff>19050</xdr:rowOff>
    </xdr:from>
    <xdr:to>
      <xdr:col>15</xdr:col>
      <xdr:colOff>323850</xdr:colOff>
      <xdr:row>34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2C2EE-5A58-47DC-B8A2-11EA6F4DE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219523</xdr:colOff>
      <xdr:row>35</xdr:row>
      <xdr:rowOff>154072</xdr:rowOff>
    </xdr:from>
    <xdr:to>
      <xdr:col>5</xdr:col>
      <xdr:colOff>246530</xdr:colOff>
      <xdr:row>53</xdr:row>
      <xdr:rowOff>89647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B9051A-0F69-4864-95FF-417590127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36</xdr:row>
      <xdr:rowOff>119529</xdr:rowOff>
    </xdr:from>
    <xdr:to>
      <xdr:col>10</xdr:col>
      <xdr:colOff>250352</xdr:colOff>
      <xdr:row>53</xdr:row>
      <xdr:rowOff>139008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6628D9-8F7F-422D-A7DA-B861E926C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186766</xdr:colOff>
      <xdr:row>37</xdr:row>
      <xdr:rowOff>1</xdr:rowOff>
    </xdr:from>
    <xdr:to>
      <xdr:col>16</xdr:col>
      <xdr:colOff>223833</xdr:colOff>
      <xdr:row>54</xdr:row>
      <xdr:rowOff>8273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062D2F-7FF2-45C7-A0AC-75DEB27BC8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448236</xdr:colOff>
      <xdr:row>37</xdr:row>
      <xdr:rowOff>7471</xdr:rowOff>
    </xdr:from>
    <xdr:to>
      <xdr:col>22</xdr:col>
      <xdr:colOff>203287</xdr:colOff>
      <xdr:row>53</xdr:row>
      <xdr:rowOff>102401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8C186B-0237-41DB-84D7-5BF57FD5C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59765</xdr:colOff>
      <xdr:row>36</xdr:row>
      <xdr:rowOff>7471</xdr:rowOff>
    </xdr:from>
    <xdr:to>
      <xdr:col>28</xdr:col>
      <xdr:colOff>246530</xdr:colOff>
      <xdr:row>53</xdr:row>
      <xdr:rowOff>141942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9F75284-5969-4950-AA8A-C23809EE72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403224</xdr:colOff>
      <xdr:row>1</xdr:row>
      <xdr:rowOff>120650</xdr:rowOff>
    </xdr:from>
    <xdr:to>
      <xdr:col>12</xdr:col>
      <xdr:colOff>184149</xdr:colOff>
      <xdr:row>17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03D29D-9D5A-44CD-80AF-38FBE51B4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115048</xdr:colOff>
      <xdr:row>11</xdr:row>
      <xdr:rowOff>104962</xdr:rowOff>
    </xdr:from>
    <xdr:to>
      <xdr:col>8</xdr:col>
      <xdr:colOff>355600</xdr:colOff>
      <xdr:row>40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90DB19-50B8-491E-B9B2-A0FFD2F64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420F6-6EF7-4B66-9FF8-9A1A5B197FEF}">
  <dimension ref="A1:F37"/>
  <sheetViews>
    <sheetView workbookViewId="0">
      <selection activeCell="F2" sqref="F2"/>
    </sheetView>
  </sheetViews>
  <sheetFormatPr defaultRowHeight="12.5" x14ac:dyDescent="0.25"/>
  <sheetData>
    <row r="1" spans="1:6" x14ac:dyDescent="0.25">
      <c r="A1" t="s">
        <v>39</v>
      </c>
      <c r="B1" t="s">
        <v>38</v>
      </c>
    </row>
    <row r="2" spans="1:6" x14ac:dyDescent="0.25">
      <c r="A2">
        <v>2000</v>
      </c>
      <c r="B2">
        <v>58530.39</v>
      </c>
      <c r="C2" s="3">
        <f t="shared" ref="C2:C26" si="0">B2/1000</f>
        <v>58.530389999999997</v>
      </c>
      <c r="D2" s="3"/>
      <c r="F2" t="s">
        <v>37</v>
      </c>
    </row>
    <row r="3" spans="1:6" x14ac:dyDescent="0.25">
      <c r="A3">
        <v>2001</v>
      </c>
      <c r="B3">
        <v>60580.26</v>
      </c>
      <c r="C3" s="3">
        <f t="shared" si="0"/>
        <v>60.580260000000003</v>
      </c>
      <c r="D3" s="3"/>
    </row>
    <row r="4" spans="1:6" x14ac:dyDescent="0.25">
      <c r="A4">
        <v>2002</v>
      </c>
      <c r="B4">
        <v>60671.24</v>
      </c>
      <c r="C4" s="3">
        <f t="shared" si="0"/>
        <v>60.671239999999997</v>
      </c>
      <c r="D4" s="3"/>
    </row>
    <row r="5" spans="1:6" x14ac:dyDescent="0.25">
      <c r="A5">
        <v>2003</v>
      </c>
      <c r="B5">
        <v>61400.45</v>
      </c>
      <c r="C5" s="3">
        <f t="shared" si="0"/>
        <v>61.400449999999999</v>
      </c>
      <c r="D5" s="3"/>
    </row>
    <row r="6" spans="1:6" x14ac:dyDescent="0.25">
      <c r="A6">
        <v>2004</v>
      </c>
      <c r="B6">
        <v>63656.09</v>
      </c>
      <c r="C6" s="3">
        <f t="shared" si="0"/>
        <v>63.656089999999999</v>
      </c>
      <c r="D6" s="3"/>
    </row>
    <row r="7" spans="1:6" x14ac:dyDescent="0.25">
      <c r="A7">
        <v>2005</v>
      </c>
      <c r="B7">
        <v>62410.31</v>
      </c>
      <c r="C7" s="3">
        <f t="shared" si="0"/>
        <v>62.410309999999996</v>
      </c>
      <c r="D7" s="3"/>
    </row>
    <row r="8" spans="1:6" x14ac:dyDescent="0.25">
      <c r="A8">
        <v>2006</v>
      </c>
      <c r="B8">
        <v>62975.64</v>
      </c>
      <c r="C8" s="3">
        <f t="shared" si="0"/>
        <v>62.975639999999999</v>
      </c>
      <c r="D8" s="3"/>
    </row>
    <row r="9" spans="1:6" x14ac:dyDescent="0.25">
      <c r="A9">
        <v>2007</v>
      </c>
      <c r="B9">
        <v>64290.38</v>
      </c>
      <c r="C9" s="3">
        <f t="shared" si="0"/>
        <v>64.290379999999999</v>
      </c>
      <c r="D9" s="3"/>
    </row>
    <row r="10" spans="1:6" x14ac:dyDescent="0.25">
      <c r="A10">
        <v>2008</v>
      </c>
      <c r="B10">
        <v>63842.31</v>
      </c>
      <c r="C10" s="3">
        <f t="shared" si="0"/>
        <v>63.842309999999998</v>
      </c>
      <c r="D10" s="3"/>
    </row>
    <row r="11" spans="1:6" x14ac:dyDescent="0.25">
      <c r="A11">
        <v>2009</v>
      </c>
      <c r="B11">
        <v>59732.88</v>
      </c>
      <c r="C11" s="3">
        <f t="shared" si="0"/>
        <v>59.732879999999994</v>
      </c>
      <c r="D11" s="3"/>
    </row>
    <row r="12" spans="1:6" x14ac:dyDescent="0.25">
      <c r="A12">
        <v>2010</v>
      </c>
      <c r="B12">
        <v>61737.74</v>
      </c>
      <c r="C12" s="3">
        <f t="shared" si="0"/>
        <v>61.737739999999995</v>
      </c>
      <c r="D12" s="3"/>
    </row>
    <row r="13" spans="1:6" x14ac:dyDescent="0.25">
      <c r="A13">
        <v>2011</v>
      </c>
      <c r="B13">
        <v>61081.98</v>
      </c>
      <c r="C13" s="3">
        <f t="shared" si="0"/>
        <v>61.081980000000001</v>
      </c>
      <c r="D13" s="3"/>
    </row>
    <row r="14" spans="1:6" x14ac:dyDescent="0.25">
      <c r="A14">
        <v>2012</v>
      </c>
      <c r="B14">
        <v>61807.96</v>
      </c>
      <c r="C14" s="3">
        <f t="shared" si="0"/>
        <v>61.807960000000001</v>
      </c>
      <c r="D14" s="3"/>
    </row>
    <row r="15" spans="1:6" x14ac:dyDescent="0.25">
      <c r="A15">
        <v>2013</v>
      </c>
      <c r="B15">
        <v>58478.84</v>
      </c>
      <c r="C15" s="3">
        <f t="shared" si="0"/>
        <v>58.478839999999998</v>
      </c>
      <c r="D15" s="3"/>
    </row>
    <row r="16" spans="1:6" x14ac:dyDescent="0.25">
      <c r="A16">
        <v>2014</v>
      </c>
      <c r="B16">
        <v>59487.29</v>
      </c>
      <c r="C16" s="3">
        <f t="shared" si="0"/>
        <v>59.487290000000002</v>
      </c>
      <c r="D16" s="3"/>
    </row>
    <row r="17" spans="1:4" x14ac:dyDescent="0.25">
      <c r="A17">
        <v>2015</v>
      </c>
      <c r="B17">
        <v>60034.36</v>
      </c>
      <c r="C17" s="3">
        <f t="shared" si="0"/>
        <v>60.03436</v>
      </c>
      <c r="D17" s="3"/>
    </row>
    <row r="18" spans="1:4" x14ac:dyDescent="0.25">
      <c r="A18">
        <v>2016</v>
      </c>
      <c r="B18">
        <v>62780.14</v>
      </c>
      <c r="C18" s="3">
        <f t="shared" si="0"/>
        <v>62.780140000000003</v>
      </c>
      <c r="D18" s="3"/>
    </row>
    <row r="19" spans="1:4" x14ac:dyDescent="0.25">
      <c r="A19">
        <v>2017</v>
      </c>
      <c r="B19">
        <v>64669.34</v>
      </c>
      <c r="C19" s="3">
        <f t="shared" si="0"/>
        <v>64.669339999999991</v>
      </c>
      <c r="D19" s="3"/>
    </row>
    <row r="20" spans="1:4" x14ac:dyDescent="0.25">
      <c r="A20">
        <v>2018</v>
      </c>
      <c r="B20">
        <v>64234.26</v>
      </c>
      <c r="C20" s="3">
        <f t="shared" si="0"/>
        <v>64.234260000000006</v>
      </c>
      <c r="D20" s="3"/>
    </row>
    <row r="21" spans="1:4" x14ac:dyDescent="0.25">
      <c r="A21">
        <v>2019</v>
      </c>
      <c r="B21">
        <v>63107.5</v>
      </c>
      <c r="C21" s="3">
        <f t="shared" si="0"/>
        <v>63.107500000000002</v>
      </c>
      <c r="D21" s="3"/>
    </row>
    <row r="22" spans="1:4" x14ac:dyDescent="0.25">
      <c r="A22">
        <v>2020</v>
      </c>
      <c r="B22">
        <v>61211.7</v>
      </c>
      <c r="C22" s="3">
        <f t="shared" si="0"/>
        <v>61.2117</v>
      </c>
      <c r="D22" s="3"/>
    </row>
    <row r="23" spans="1:4" x14ac:dyDescent="0.25">
      <c r="A23">
        <v>2021</v>
      </c>
      <c r="B23">
        <v>69232.84</v>
      </c>
      <c r="C23" s="3">
        <f t="shared" si="0"/>
        <v>69.232839999999996</v>
      </c>
      <c r="D23" s="3"/>
    </row>
    <row r="24" spans="1:4" x14ac:dyDescent="0.25">
      <c r="A24">
        <v>2022</v>
      </c>
      <c r="B24">
        <v>66117.08</v>
      </c>
      <c r="C24" s="3">
        <f t="shared" si="0"/>
        <v>66.117080000000001</v>
      </c>
      <c r="D24" s="3"/>
    </row>
    <row r="25" spans="1:4" x14ac:dyDescent="0.25">
      <c r="A25">
        <v>2023</v>
      </c>
      <c r="B25">
        <v>64303</v>
      </c>
      <c r="C25" s="3">
        <f t="shared" si="0"/>
        <v>64.302999999999997</v>
      </c>
      <c r="D25" s="3"/>
    </row>
    <row r="26" spans="1:4" x14ac:dyDescent="0.25">
      <c r="A26">
        <v>2024</v>
      </c>
      <c r="B26">
        <v>64510.04</v>
      </c>
      <c r="C26" s="3">
        <f t="shared" si="0"/>
        <v>64.510040000000004</v>
      </c>
      <c r="D26" s="3"/>
    </row>
    <row r="28" spans="1:4" x14ac:dyDescent="0.25">
      <c r="C28" s="12"/>
    </row>
    <row r="37" spans="6:6" ht="13" x14ac:dyDescent="0.3">
      <c r="F37" s="11" t="s">
        <v>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4514C-6899-480F-AABA-ED7D8D73DC66}">
  <dimension ref="A2:BM112"/>
  <sheetViews>
    <sheetView topLeftCell="A14" zoomScale="85" zoomScaleNormal="85" workbookViewId="0">
      <selection activeCell="A2" sqref="A2"/>
    </sheetView>
  </sheetViews>
  <sheetFormatPr defaultRowHeight="12.5" x14ac:dyDescent="0.25"/>
  <sheetData>
    <row r="2" spans="1:65" ht="15.5" x14ac:dyDescent="0.35">
      <c r="A2" s="10" t="s">
        <v>35</v>
      </c>
    </row>
    <row r="4" spans="1:65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65" ht="13" x14ac:dyDescent="0.3">
      <c r="A5" s="13" t="s">
        <v>2</v>
      </c>
      <c r="G5" s="13" t="s">
        <v>4</v>
      </c>
      <c r="M5" s="13" t="s">
        <v>5</v>
      </c>
      <c r="S5" t="s">
        <v>6</v>
      </c>
      <c r="Y5" t="s">
        <v>7</v>
      </c>
    </row>
    <row r="6" spans="1:65" x14ac:dyDescent="0.25">
      <c r="B6" s="6"/>
      <c r="C6" s="6"/>
      <c r="D6" s="6"/>
      <c r="E6" s="6"/>
      <c r="F6" s="6"/>
      <c r="J6" s="6"/>
      <c r="K6" s="6"/>
    </row>
    <row r="7" spans="1:65" ht="25" x14ac:dyDescent="0.25">
      <c r="A7" s="4" t="s">
        <v>0</v>
      </c>
      <c r="B7" s="4" t="s">
        <v>31</v>
      </c>
      <c r="C7" s="4" t="s">
        <v>1</v>
      </c>
      <c r="D7" s="4"/>
      <c r="E7" s="4"/>
      <c r="F7" s="4"/>
      <c r="G7" s="4" t="s">
        <v>0</v>
      </c>
      <c r="H7" s="4" t="s">
        <v>31</v>
      </c>
      <c r="I7" s="4" t="s">
        <v>1</v>
      </c>
      <c r="J7" s="4"/>
      <c r="K7" s="4"/>
      <c r="L7" s="4"/>
      <c r="M7" s="4" t="s">
        <v>0</v>
      </c>
      <c r="N7" s="4" t="s">
        <v>31</v>
      </c>
      <c r="O7" s="4" t="s">
        <v>1</v>
      </c>
      <c r="P7" s="4"/>
      <c r="Q7" s="4"/>
      <c r="R7" s="4"/>
      <c r="S7" s="4" t="s">
        <v>0</v>
      </c>
      <c r="T7" s="4" t="s">
        <v>31</v>
      </c>
      <c r="U7" s="4" t="s">
        <v>1</v>
      </c>
      <c r="V7" s="4"/>
      <c r="W7" s="4"/>
      <c r="X7" s="4"/>
      <c r="Y7" s="4" t="s">
        <v>0</v>
      </c>
      <c r="Z7" s="4" t="s">
        <v>31</v>
      </c>
      <c r="AA7" s="4" t="s">
        <v>1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65" ht="13" x14ac:dyDescent="0.3">
      <c r="A8" s="8" t="s">
        <v>3</v>
      </c>
      <c r="B8" s="9">
        <v>42.292349999999999</v>
      </c>
      <c r="C8" s="9">
        <v>50.870699999999999</v>
      </c>
      <c r="D8" s="2"/>
      <c r="E8" s="2"/>
      <c r="F8" s="2"/>
      <c r="G8" s="8" t="s">
        <v>3</v>
      </c>
      <c r="H8" s="9">
        <v>46.589179999999999</v>
      </c>
      <c r="I8" s="9">
        <v>291.17700000000002</v>
      </c>
      <c r="J8" s="2"/>
      <c r="K8" s="2"/>
      <c r="L8" s="2"/>
      <c r="M8" s="8" t="s">
        <v>3</v>
      </c>
      <c r="N8" s="9">
        <v>64.288420000000002</v>
      </c>
      <c r="O8" s="9">
        <v>83.762500000000003</v>
      </c>
      <c r="S8" s="8" t="s">
        <v>3</v>
      </c>
      <c r="T8" s="9">
        <v>86.052149999999997</v>
      </c>
      <c r="U8" s="9">
        <v>128.3682</v>
      </c>
      <c r="X8" s="2"/>
      <c r="Y8" s="8" t="s">
        <v>3</v>
      </c>
      <c r="Z8" s="9">
        <v>39.338709999999999</v>
      </c>
      <c r="AA8" s="9">
        <v>40.7669</v>
      </c>
      <c r="AL8" s="2"/>
      <c r="AZ8" s="2"/>
      <c r="BD8" s="2"/>
      <c r="BE8" s="2"/>
      <c r="BF8" s="2"/>
      <c r="BG8" s="2"/>
      <c r="BH8" s="2"/>
      <c r="BI8" s="2"/>
      <c r="BJ8" s="2"/>
      <c r="BK8" s="2"/>
      <c r="BL8" s="2"/>
      <c r="BM8" s="2"/>
    </row>
    <row r="9" spans="1:65" ht="13" x14ac:dyDescent="0.3">
      <c r="A9" s="8" t="s">
        <v>8</v>
      </c>
      <c r="B9" s="9">
        <v>55.171779999999998</v>
      </c>
      <c r="C9" s="9">
        <v>75.897300000000001</v>
      </c>
      <c r="D9" s="2"/>
      <c r="E9" s="2"/>
      <c r="F9" s="2"/>
      <c r="G9" s="8" t="s">
        <v>8</v>
      </c>
      <c r="H9" s="9">
        <v>51.733139999999999</v>
      </c>
      <c r="I9" s="9">
        <v>324.29070000000002</v>
      </c>
      <c r="J9" s="2"/>
      <c r="K9" s="2"/>
      <c r="L9" s="2"/>
      <c r="M9" s="8" t="s">
        <v>8</v>
      </c>
      <c r="N9" s="9">
        <v>92.49494</v>
      </c>
      <c r="O9" s="9">
        <v>113.7971</v>
      </c>
      <c r="S9" s="8" t="s">
        <v>8</v>
      </c>
      <c r="T9" s="9">
        <v>153.88310000000001</v>
      </c>
      <c r="U9" s="9">
        <v>206.5196</v>
      </c>
      <c r="X9" s="2"/>
      <c r="Y9" s="8" t="s">
        <v>8</v>
      </c>
      <c r="Z9" s="9">
        <v>33.340000000000003</v>
      </c>
      <c r="AA9" s="9">
        <v>36.0154</v>
      </c>
      <c r="AL9" s="2"/>
      <c r="AZ9" s="2"/>
      <c r="BD9" s="2"/>
      <c r="BE9" s="2"/>
      <c r="BF9" s="2"/>
      <c r="BG9" s="2"/>
      <c r="BH9" s="2"/>
      <c r="BI9" s="2"/>
      <c r="BJ9" s="2"/>
      <c r="BK9" s="2"/>
      <c r="BL9" s="2"/>
      <c r="BM9" s="2"/>
    </row>
    <row r="10" spans="1:65" ht="13" x14ac:dyDescent="0.3">
      <c r="A10" s="8" t="s">
        <v>32</v>
      </c>
      <c r="B10" s="9">
        <v>20.62388</v>
      </c>
      <c r="C10" s="9">
        <v>17.081200000000003</v>
      </c>
      <c r="D10" s="2"/>
      <c r="E10" s="2"/>
      <c r="F10" s="2"/>
      <c r="G10" s="8" t="s">
        <v>32</v>
      </c>
      <c r="H10" s="9">
        <v>36.408290000000001</v>
      </c>
      <c r="I10" s="9">
        <v>137.05020000000002</v>
      </c>
      <c r="J10" s="2"/>
      <c r="K10" s="2"/>
      <c r="L10" s="2"/>
      <c r="M10" s="8" t="s">
        <v>32</v>
      </c>
      <c r="N10" s="9">
        <v>61.296309999999998</v>
      </c>
      <c r="O10" s="9">
        <v>77.213300000000004</v>
      </c>
      <c r="S10" s="8" t="s">
        <v>32</v>
      </c>
      <c r="T10" s="9">
        <v>55.397649999999999</v>
      </c>
      <c r="U10" s="9">
        <v>12.624500000000001</v>
      </c>
      <c r="X10" s="2"/>
      <c r="Y10" s="8" t="s">
        <v>32</v>
      </c>
      <c r="Z10" s="9">
        <v>30.115639999999999</v>
      </c>
      <c r="AA10" s="9">
        <v>7.3435000000000006</v>
      </c>
      <c r="AL10" s="2"/>
      <c r="AZ10" s="2"/>
      <c r="BD10" s="2"/>
      <c r="BE10" s="2"/>
      <c r="BF10" s="2"/>
      <c r="BG10" s="2"/>
      <c r="BH10" s="2"/>
      <c r="BI10" s="2"/>
      <c r="BJ10" s="2"/>
      <c r="BK10" s="2"/>
      <c r="BL10" s="2"/>
      <c r="BM10" s="2"/>
    </row>
    <row r="11" spans="1:65" ht="13" x14ac:dyDescent="0.3">
      <c r="A11" s="8" t="s">
        <v>9</v>
      </c>
      <c r="B11" s="9">
        <v>16.233730000000001</v>
      </c>
      <c r="C11" s="9">
        <v>20.105499999999999</v>
      </c>
      <c r="D11" s="2"/>
      <c r="E11" s="2"/>
      <c r="F11" s="2"/>
      <c r="G11" s="8" t="s">
        <v>9</v>
      </c>
      <c r="H11" s="9">
        <v>18.456289999999999</v>
      </c>
      <c r="I11" s="9">
        <v>93.489800000000002</v>
      </c>
      <c r="J11" s="2"/>
      <c r="K11" s="2"/>
      <c r="L11" s="2"/>
      <c r="M11" s="8" t="s">
        <v>9</v>
      </c>
      <c r="N11" s="9">
        <v>42.873220000000003</v>
      </c>
      <c r="O11" s="9">
        <v>51.2057</v>
      </c>
      <c r="S11" s="8" t="s">
        <v>9</v>
      </c>
      <c r="T11" s="9">
        <v>64.426450000000003</v>
      </c>
      <c r="U11" s="9">
        <v>50.9527</v>
      </c>
      <c r="X11" s="2"/>
      <c r="Y11" s="8" t="s">
        <v>9</v>
      </c>
      <c r="Z11" s="9">
        <v>18.41818</v>
      </c>
      <c r="AA11" s="9">
        <v>22.950600000000001</v>
      </c>
      <c r="AL11" s="2"/>
      <c r="AZ11" s="2"/>
      <c r="BD11" s="2"/>
      <c r="BE11" s="2"/>
      <c r="BF11" s="2"/>
      <c r="BG11" s="2"/>
      <c r="BH11" s="2"/>
      <c r="BI11" s="2"/>
      <c r="BJ11" s="2"/>
      <c r="BK11" s="2"/>
      <c r="BL11" s="2"/>
      <c r="BM11" s="2"/>
    </row>
    <row r="12" spans="1:65" ht="13" x14ac:dyDescent="0.3">
      <c r="A12" s="8" t="s">
        <v>10</v>
      </c>
      <c r="B12" s="9">
        <v>39.932090000000002</v>
      </c>
      <c r="C12" s="9">
        <v>30.762</v>
      </c>
      <c r="D12" s="2"/>
      <c r="E12" s="2"/>
      <c r="F12" s="2"/>
      <c r="G12" s="8" t="s">
        <v>10</v>
      </c>
      <c r="H12" s="9">
        <v>39.052280000000003</v>
      </c>
      <c r="I12" s="9">
        <v>141.7561</v>
      </c>
      <c r="J12" s="2"/>
      <c r="K12" s="2"/>
      <c r="L12" s="2"/>
      <c r="M12" s="8" t="s">
        <v>10</v>
      </c>
      <c r="N12" s="9">
        <v>77.124300000000005</v>
      </c>
      <c r="O12" s="9">
        <v>74.997699999999995</v>
      </c>
      <c r="S12" s="8" t="s">
        <v>10</v>
      </c>
      <c r="T12" s="9">
        <v>83.475840000000005</v>
      </c>
      <c r="U12" s="9">
        <v>99.243799999999993</v>
      </c>
      <c r="X12" s="2"/>
      <c r="Y12" s="8" t="s">
        <v>10</v>
      </c>
      <c r="Z12" s="9">
        <v>53.072180000000003</v>
      </c>
      <c r="AA12" s="9">
        <v>41.742699999999999</v>
      </c>
      <c r="AL12" s="2"/>
      <c r="AZ12" s="2"/>
      <c r="BD12" s="2"/>
      <c r="BE12" s="2"/>
      <c r="BF12" s="2"/>
      <c r="BG12" s="2"/>
      <c r="BH12" s="2"/>
      <c r="BI12" s="2"/>
      <c r="BJ12" s="2"/>
      <c r="BK12" s="2"/>
      <c r="BL12" s="2"/>
      <c r="BM12" s="2"/>
    </row>
    <row r="13" spans="1:65" ht="13" x14ac:dyDescent="0.3">
      <c r="A13" s="8" t="s">
        <v>11</v>
      </c>
      <c r="B13" s="9">
        <v>62.350349999999999</v>
      </c>
      <c r="C13" s="9">
        <v>39.6952</v>
      </c>
      <c r="D13" s="2"/>
      <c r="E13" s="2"/>
      <c r="F13" s="2"/>
      <c r="G13" s="8" t="s">
        <v>11</v>
      </c>
      <c r="H13" s="9">
        <v>63.030479999999997</v>
      </c>
      <c r="I13" s="9">
        <v>304.15370000000001</v>
      </c>
      <c r="J13" s="2"/>
      <c r="K13" s="2"/>
      <c r="L13" s="2"/>
      <c r="M13" s="8" t="s">
        <v>11</v>
      </c>
      <c r="N13" s="9">
        <v>88.397599999999997</v>
      </c>
      <c r="O13" s="9">
        <v>156.05359999999999</v>
      </c>
      <c r="S13" s="8" t="s">
        <v>11</v>
      </c>
      <c r="T13" s="9">
        <v>142.4023</v>
      </c>
      <c r="U13" s="9">
        <v>135.3098</v>
      </c>
      <c r="X13" s="2"/>
      <c r="Y13" s="8" t="s">
        <v>11</v>
      </c>
      <c r="Z13" s="9">
        <v>64.360590000000002</v>
      </c>
      <c r="AA13" s="9">
        <v>49.524499999999996</v>
      </c>
      <c r="AL13" s="2"/>
      <c r="AZ13" s="2"/>
      <c r="BD13" s="2"/>
      <c r="BE13" s="2"/>
      <c r="BF13" s="2"/>
      <c r="BG13" s="2"/>
      <c r="BH13" s="2"/>
      <c r="BI13" s="2"/>
      <c r="BJ13" s="2"/>
      <c r="BK13" s="2"/>
      <c r="BL13" s="2"/>
      <c r="BM13" s="2"/>
    </row>
    <row r="14" spans="1:65" ht="13" x14ac:dyDescent="0.3">
      <c r="A14" s="8" t="s">
        <v>12</v>
      </c>
      <c r="B14" s="9">
        <v>16.305219999999998</v>
      </c>
      <c r="C14" s="9">
        <v>24.219100000000001</v>
      </c>
      <c r="D14" s="2"/>
      <c r="E14" s="2"/>
      <c r="F14" s="2"/>
      <c r="G14" s="8" t="s">
        <v>12</v>
      </c>
      <c r="H14" s="9">
        <v>22.316289999999999</v>
      </c>
      <c r="I14" s="9">
        <v>73.838699999999989</v>
      </c>
      <c r="J14" s="2"/>
      <c r="K14" s="2"/>
      <c r="L14" s="2"/>
      <c r="M14" s="8" t="s">
        <v>12</v>
      </c>
      <c r="N14" s="9">
        <v>28.002289999999999</v>
      </c>
      <c r="O14" s="9">
        <v>32.885400000000004</v>
      </c>
      <c r="S14" s="8" t="s">
        <v>12</v>
      </c>
      <c r="T14" s="9">
        <v>42.676099999999998</v>
      </c>
      <c r="U14" s="9">
        <v>20.700400000000002</v>
      </c>
      <c r="X14" s="2"/>
      <c r="Y14" s="8" t="s">
        <v>12</v>
      </c>
      <c r="Z14" s="9">
        <v>27.9068</v>
      </c>
      <c r="AA14" s="9">
        <v>42.292299999999997</v>
      </c>
      <c r="AL14" s="2"/>
      <c r="AZ14" s="2"/>
      <c r="BD14" s="2"/>
      <c r="BE14" s="2"/>
      <c r="BF14" s="2"/>
      <c r="BG14" s="2"/>
      <c r="BH14" s="2"/>
      <c r="BI14" s="2"/>
      <c r="BJ14" s="2"/>
      <c r="BK14" s="2"/>
      <c r="BL14" s="2"/>
      <c r="BM14" s="2"/>
    </row>
    <row r="15" spans="1:65" ht="13" x14ac:dyDescent="0.3">
      <c r="A15" s="8" t="s">
        <v>13</v>
      </c>
      <c r="B15" s="9">
        <v>10.20074</v>
      </c>
      <c r="C15" s="9">
        <v>9.7853999999999992</v>
      </c>
      <c r="D15" s="2"/>
      <c r="E15" s="2"/>
      <c r="F15" s="2"/>
      <c r="G15" s="8" t="s">
        <v>13</v>
      </c>
      <c r="H15" s="9">
        <v>15.78289</v>
      </c>
      <c r="I15" s="9">
        <v>52.799600000000005</v>
      </c>
      <c r="J15" s="2"/>
      <c r="K15" s="2"/>
      <c r="L15" s="2"/>
      <c r="M15" s="8" t="s">
        <v>13</v>
      </c>
      <c r="N15" s="9">
        <v>25.13655</v>
      </c>
      <c r="O15" s="9">
        <v>68.843900000000005</v>
      </c>
      <c r="S15" s="8" t="s">
        <v>13</v>
      </c>
      <c r="T15" s="9">
        <v>49.618920000000003</v>
      </c>
      <c r="U15" s="9">
        <v>32.928100000000001</v>
      </c>
      <c r="X15" s="2"/>
      <c r="Y15" s="8" t="s">
        <v>13</v>
      </c>
      <c r="Z15" s="9">
        <v>11.411149999999999</v>
      </c>
      <c r="AA15" s="9">
        <v>6.3648000000000007</v>
      </c>
      <c r="AL15" s="2"/>
      <c r="AZ15" s="2"/>
      <c r="BD15" s="2"/>
      <c r="BE15" s="2"/>
      <c r="BF15" s="2"/>
      <c r="BG15" s="2"/>
      <c r="BH15" s="2"/>
      <c r="BI15" s="2"/>
      <c r="BJ15" s="2"/>
      <c r="BK15" s="2"/>
      <c r="BL15" s="2"/>
      <c r="BM15" s="2"/>
    </row>
    <row r="16" spans="1:65" ht="13" x14ac:dyDescent="0.3">
      <c r="A16" s="8" t="s">
        <v>14</v>
      </c>
      <c r="B16" s="9">
        <v>23.63287</v>
      </c>
      <c r="C16" s="9">
        <v>38.586500000000001</v>
      </c>
      <c r="D16" s="2"/>
      <c r="E16" s="2"/>
      <c r="F16" s="2"/>
      <c r="G16" s="8" t="s">
        <v>14</v>
      </c>
      <c r="H16" s="9">
        <v>27.524920000000002</v>
      </c>
      <c r="I16" s="9">
        <v>148.1497</v>
      </c>
      <c r="J16" s="2"/>
      <c r="K16" s="2"/>
      <c r="L16" s="2"/>
      <c r="M16" s="8" t="s">
        <v>14</v>
      </c>
      <c r="N16" s="9">
        <v>47.70232</v>
      </c>
      <c r="O16" s="9">
        <v>114.11150000000001</v>
      </c>
      <c r="S16" s="8" t="s">
        <v>14</v>
      </c>
      <c r="T16" s="9">
        <v>66.783119999999997</v>
      </c>
      <c r="U16" s="9">
        <v>80.203699999999998</v>
      </c>
      <c r="X16" s="2"/>
      <c r="Y16" s="8" t="s">
        <v>14</v>
      </c>
      <c r="Z16" s="9">
        <v>29.671659999999999</v>
      </c>
      <c r="AA16" s="9">
        <v>38.364100000000001</v>
      </c>
      <c r="AL16" s="2"/>
      <c r="AZ16" s="2"/>
      <c r="BD16" s="2"/>
      <c r="BE16" s="2"/>
      <c r="BF16" s="2"/>
      <c r="BG16" s="2"/>
      <c r="BH16" s="2"/>
      <c r="BI16" s="2"/>
      <c r="BJ16" s="2"/>
      <c r="BK16" s="2"/>
      <c r="BL16" s="2"/>
      <c r="BM16" s="2"/>
    </row>
    <row r="17" spans="1:65" ht="13" x14ac:dyDescent="0.3">
      <c r="A17" s="8" t="s">
        <v>15</v>
      </c>
      <c r="B17" s="9">
        <v>43.851080000000003</v>
      </c>
      <c r="C17" s="9">
        <v>33.703299999999999</v>
      </c>
      <c r="D17" s="2"/>
      <c r="E17" s="2"/>
      <c r="F17" s="2"/>
      <c r="G17" s="8" t="s">
        <v>15</v>
      </c>
      <c r="H17" s="9">
        <v>33.099730000000001</v>
      </c>
      <c r="I17" s="9">
        <v>80.914600000000007</v>
      </c>
      <c r="J17" s="2"/>
      <c r="K17" s="2"/>
      <c r="L17" s="2"/>
      <c r="M17" s="8" t="s">
        <v>15</v>
      </c>
      <c r="N17" s="9">
        <v>72.414730000000006</v>
      </c>
      <c r="O17" s="9">
        <v>68.396299999999997</v>
      </c>
      <c r="S17" s="8" t="s">
        <v>15</v>
      </c>
      <c r="T17" s="9">
        <v>96.387659999999997</v>
      </c>
      <c r="U17" s="9">
        <v>26.4758</v>
      </c>
      <c r="X17" s="2"/>
      <c r="Y17" s="8" t="s">
        <v>15</v>
      </c>
      <c r="Z17" s="9">
        <v>41.287280000000003</v>
      </c>
      <c r="AA17" s="9">
        <v>26.242699999999999</v>
      </c>
      <c r="AL17" s="2"/>
      <c r="AZ17" s="2"/>
      <c r="BD17" s="2"/>
      <c r="BE17" s="2"/>
      <c r="BF17" s="2"/>
      <c r="BG17" s="2"/>
      <c r="BH17" s="2"/>
      <c r="BI17" s="2"/>
      <c r="BJ17" s="2"/>
      <c r="BK17" s="2"/>
      <c r="BL17" s="2"/>
      <c r="BM17" s="2"/>
    </row>
    <row r="18" spans="1:65" ht="13" x14ac:dyDescent="0.3">
      <c r="A18" s="8" t="s">
        <v>16</v>
      </c>
      <c r="B18" s="9">
        <v>36.39893</v>
      </c>
      <c r="C18" s="9">
        <v>21.071300000000001</v>
      </c>
      <c r="D18" s="2"/>
      <c r="E18" s="2"/>
      <c r="F18" s="2"/>
      <c r="G18" s="8" t="s">
        <v>16</v>
      </c>
      <c r="H18" s="9">
        <v>37.625450000000001</v>
      </c>
      <c r="I18" s="9">
        <v>97.524900000000002</v>
      </c>
      <c r="J18" s="2"/>
      <c r="K18" s="2"/>
      <c r="L18" s="2"/>
      <c r="M18" s="8" t="s">
        <v>16</v>
      </c>
      <c r="N18" s="9">
        <v>73.493129999999994</v>
      </c>
      <c r="O18" s="9">
        <v>70.704300000000003</v>
      </c>
      <c r="S18" s="8" t="s">
        <v>16</v>
      </c>
      <c r="T18" s="9">
        <v>78.435190000000006</v>
      </c>
      <c r="U18" s="9">
        <v>93.614199999999997</v>
      </c>
      <c r="X18" s="2"/>
      <c r="Y18" s="8" t="s">
        <v>16</v>
      </c>
      <c r="Z18" s="9">
        <v>55.180549999999997</v>
      </c>
      <c r="AA18" s="9">
        <v>56.008000000000003</v>
      </c>
      <c r="AL18" s="2"/>
      <c r="AZ18" s="2"/>
      <c r="BD18" s="2"/>
      <c r="BE18" s="2"/>
      <c r="BF18" s="2"/>
      <c r="BG18" s="2"/>
      <c r="BH18" s="2"/>
      <c r="BI18" s="2"/>
      <c r="BJ18" s="2"/>
      <c r="BK18" s="2"/>
      <c r="BL18" s="2"/>
      <c r="BM18" s="2"/>
    </row>
    <row r="19" spans="1:65" ht="13" x14ac:dyDescent="0.3">
      <c r="A19" s="8" t="s">
        <v>33</v>
      </c>
      <c r="B19" s="9">
        <v>13.52399</v>
      </c>
      <c r="C19" s="9">
        <v>31.043000000000003</v>
      </c>
      <c r="D19" s="2"/>
      <c r="E19" s="2"/>
      <c r="F19" s="2"/>
      <c r="G19" s="8" t="s">
        <v>33</v>
      </c>
      <c r="H19" s="9">
        <v>10.939870000000001</v>
      </c>
      <c r="I19" s="9">
        <v>72.726799999999997</v>
      </c>
      <c r="J19" s="2"/>
      <c r="K19" s="2"/>
      <c r="L19" s="2"/>
      <c r="M19" s="8" t="s">
        <v>33</v>
      </c>
      <c r="N19" s="9">
        <v>25.22589</v>
      </c>
      <c r="O19" s="9">
        <v>48.529700000000005</v>
      </c>
      <c r="S19" s="8" t="s">
        <v>33</v>
      </c>
      <c r="T19" s="9">
        <v>33.780619999999999</v>
      </c>
      <c r="U19" s="9">
        <v>55.4681</v>
      </c>
      <c r="X19" s="2"/>
      <c r="Y19" s="8" t="s">
        <v>33</v>
      </c>
      <c r="Z19" s="9">
        <v>19.28406</v>
      </c>
      <c r="AA19" s="9">
        <v>36.547999999999995</v>
      </c>
      <c r="AL19" s="2"/>
      <c r="AZ19" s="2"/>
      <c r="BD19" s="2"/>
      <c r="BE19" s="2"/>
      <c r="BF19" s="2"/>
      <c r="BG19" s="2"/>
      <c r="BH19" s="2"/>
      <c r="BI19" s="2"/>
      <c r="BJ19" s="2"/>
      <c r="BK19" s="2"/>
      <c r="BL19" s="2"/>
      <c r="BM19" s="2"/>
    </row>
    <row r="20" spans="1:65" ht="13" x14ac:dyDescent="0.3">
      <c r="A20" s="8" t="s">
        <v>17</v>
      </c>
      <c r="B20" s="9">
        <v>13.50648</v>
      </c>
      <c r="C20" s="9">
        <v>18.1297</v>
      </c>
      <c r="D20" s="2"/>
      <c r="E20" s="2"/>
      <c r="F20" s="2"/>
      <c r="G20" s="8" t="s">
        <v>17</v>
      </c>
      <c r="H20" s="9">
        <v>16.141249999999999</v>
      </c>
      <c r="I20" s="9">
        <v>78.596699999999998</v>
      </c>
      <c r="J20" s="2"/>
      <c r="K20" s="2"/>
      <c r="L20" s="2"/>
      <c r="M20" s="8" t="s">
        <v>17</v>
      </c>
      <c r="N20" s="9">
        <v>26.913350000000001</v>
      </c>
      <c r="O20" s="9">
        <v>48.776699999999998</v>
      </c>
      <c r="S20" s="8" t="s">
        <v>17</v>
      </c>
      <c r="T20" s="9">
        <v>35.278060000000004</v>
      </c>
      <c r="U20" s="9">
        <v>31.261400000000002</v>
      </c>
      <c r="X20" s="2"/>
      <c r="Y20" s="8" t="s">
        <v>17</v>
      </c>
      <c r="Z20" s="9">
        <v>18.565439999999999</v>
      </c>
      <c r="AA20" s="9">
        <v>18.4542</v>
      </c>
      <c r="AL20" s="2"/>
      <c r="AZ20" s="2"/>
      <c r="BD20" s="2"/>
      <c r="BE20" s="2"/>
      <c r="BF20" s="2"/>
      <c r="BG20" s="2"/>
      <c r="BH20" s="2"/>
      <c r="BI20" s="2"/>
      <c r="BJ20" s="2"/>
      <c r="BK20" s="2"/>
      <c r="BL20" s="2"/>
      <c r="BM20" s="2"/>
    </row>
    <row r="21" spans="1:65" ht="13" x14ac:dyDescent="0.3">
      <c r="A21" s="8" t="s">
        <v>18</v>
      </c>
      <c r="B21" s="9">
        <v>57.661850000000001</v>
      </c>
      <c r="C21" s="9">
        <v>24.040099999999999</v>
      </c>
      <c r="D21" s="2"/>
      <c r="E21" s="2"/>
      <c r="F21" s="2"/>
      <c r="G21" s="8" t="s">
        <v>18</v>
      </c>
      <c r="H21" s="9">
        <v>28.313079999999999</v>
      </c>
      <c r="I21" s="9">
        <v>111.5638</v>
      </c>
      <c r="J21" s="2"/>
      <c r="K21" s="2"/>
      <c r="L21" s="2"/>
      <c r="M21" s="8" t="s">
        <v>18</v>
      </c>
      <c r="N21" s="9"/>
      <c r="O21" s="9"/>
      <c r="S21" s="8" t="s">
        <v>18</v>
      </c>
      <c r="T21" s="9">
        <v>89.311089999999993</v>
      </c>
      <c r="U21" s="9">
        <v>72.78370000000001</v>
      </c>
      <c r="X21" s="2"/>
      <c r="Y21" s="8" t="s">
        <v>18</v>
      </c>
      <c r="Z21" s="9">
        <v>76.493300000000005</v>
      </c>
      <c r="AA21" s="9">
        <v>77.224699999999999</v>
      </c>
      <c r="AL21" s="2"/>
      <c r="AZ21" s="2"/>
      <c r="BD21" s="2"/>
      <c r="BE21" s="2"/>
      <c r="BF21" s="2"/>
      <c r="BG21" s="2"/>
      <c r="BH21" s="2"/>
      <c r="BI21" s="2"/>
      <c r="BJ21" s="2"/>
      <c r="BK21" s="2"/>
      <c r="BL21" s="2"/>
      <c r="BM21" s="2"/>
    </row>
    <row r="22" spans="1:65" ht="13" x14ac:dyDescent="0.3">
      <c r="A22" s="8" t="s">
        <v>19</v>
      </c>
      <c r="B22" s="9">
        <v>30.780840000000001</v>
      </c>
      <c r="C22" s="9">
        <v>26.369</v>
      </c>
      <c r="D22" s="2"/>
      <c r="E22" s="2"/>
      <c r="F22" s="2"/>
      <c r="G22" s="8" t="s">
        <v>19</v>
      </c>
      <c r="H22" s="9">
        <v>36.261040000000001</v>
      </c>
      <c r="I22" s="9">
        <v>198.89609999999999</v>
      </c>
      <c r="J22" s="2"/>
      <c r="K22" s="2"/>
      <c r="L22" s="2"/>
      <c r="M22" s="8" t="s">
        <v>19</v>
      </c>
      <c r="N22" s="9">
        <v>54.089010000000002</v>
      </c>
      <c r="O22" s="9">
        <v>100.992</v>
      </c>
      <c r="S22" s="8" t="s">
        <v>19</v>
      </c>
      <c r="T22" s="9">
        <v>77.373189999999994</v>
      </c>
      <c r="U22" s="9">
        <v>75.251199999999997</v>
      </c>
      <c r="X22" s="2"/>
      <c r="Y22" s="8" t="s">
        <v>19</v>
      </c>
      <c r="Z22" s="9">
        <v>36.980490000000003</v>
      </c>
      <c r="AA22" s="9">
        <v>28.387</v>
      </c>
      <c r="AL22" s="2"/>
      <c r="AZ22" s="2"/>
      <c r="BD22" s="2"/>
      <c r="BE22" s="2"/>
      <c r="BF22" s="2"/>
      <c r="BG22" s="2"/>
      <c r="BH22" s="2"/>
      <c r="BI22" s="2"/>
      <c r="BJ22" s="2"/>
      <c r="BK22" s="2"/>
      <c r="BL22" s="2"/>
      <c r="BM22" s="2"/>
    </row>
    <row r="23" spans="1:65" ht="13" x14ac:dyDescent="0.3">
      <c r="A23" s="8" t="s">
        <v>20</v>
      </c>
      <c r="B23" s="9">
        <v>19.71876</v>
      </c>
      <c r="C23" s="9">
        <v>17.759500000000003</v>
      </c>
      <c r="D23" s="2"/>
      <c r="E23" s="2"/>
      <c r="F23" s="2"/>
      <c r="G23" s="8" t="s">
        <v>20</v>
      </c>
      <c r="H23" s="9">
        <v>24.566490000000002</v>
      </c>
      <c r="I23" s="9">
        <v>55.263199999999998</v>
      </c>
      <c r="J23" s="2"/>
      <c r="K23" s="2"/>
      <c r="L23" s="2"/>
      <c r="M23" s="8" t="s">
        <v>20</v>
      </c>
      <c r="N23" s="9">
        <v>19.379079999999998</v>
      </c>
      <c r="O23" s="9">
        <v>49.1143</v>
      </c>
      <c r="S23" s="8" t="s">
        <v>20</v>
      </c>
      <c r="T23" s="9">
        <v>17.782589999999999</v>
      </c>
      <c r="U23" s="9">
        <v>17.593399999999999</v>
      </c>
      <c r="X23" s="2"/>
      <c r="Y23" s="8" t="s">
        <v>20</v>
      </c>
      <c r="Z23" s="9">
        <v>18.73329</v>
      </c>
      <c r="AA23" s="9">
        <v>20.602800000000002</v>
      </c>
      <c r="AL23" s="2"/>
      <c r="AZ23" s="2"/>
      <c r="BD23" s="2"/>
      <c r="BE23" s="2"/>
      <c r="BF23" s="2"/>
      <c r="BG23" s="2"/>
      <c r="BH23" s="2"/>
      <c r="BI23" s="2"/>
      <c r="BJ23" s="2"/>
      <c r="BK23" s="2"/>
      <c r="BL23" s="2"/>
      <c r="BM23" s="2"/>
    </row>
    <row r="24" spans="1:65" ht="13" x14ac:dyDescent="0.3">
      <c r="A24" s="8" t="s">
        <v>21</v>
      </c>
      <c r="B24" s="9"/>
      <c r="C24" s="9"/>
      <c r="D24" s="2"/>
      <c r="E24" s="2"/>
      <c r="F24" s="2"/>
      <c r="G24" s="8" t="s">
        <v>21</v>
      </c>
      <c r="H24" s="9"/>
      <c r="I24" s="9"/>
      <c r="J24" s="2"/>
      <c r="K24" s="2"/>
      <c r="L24" s="2"/>
      <c r="M24" s="8" t="s">
        <v>21</v>
      </c>
      <c r="N24" s="9"/>
      <c r="O24" s="9"/>
      <c r="S24" s="8" t="s">
        <v>21</v>
      </c>
      <c r="T24" s="9"/>
      <c r="U24" s="9"/>
      <c r="X24" s="2"/>
      <c r="Y24" s="8" t="s">
        <v>21</v>
      </c>
      <c r="Z24" s="9"/>
      <c r="AA24" s="9"/>
      <c r="AL24" s="2"/>
      <c r="AZ24" s="2"/>
      <c r="BD24" s="2"/>
      <c r="BE24" s="2"/>
      <c r="BF24" s="2"/>
      <c r="BG24" s="2"/>
      <c r="BH24" s="2"/>
      <c r="BI24" s="2"/>
      <c r="BJ24" s="2"/>
      <c r="BK24" s="2"/>
      <c r="BL24" s="2"/>
      <c r="BM24" s="2"/>
    </row>
    <row r="25" spans="1:65" ht="13" x14ac:dyDescent="0.3">
      <c r="A25" s="8" t="s">
        <v>22</v>
      </c>
      <c r="B25" s="9">
        <v>16.400379999999998</v>
      </c>
      <c r="C25" s="9">
        <v>17.619599999999998</v>
      </c>
      <c r="D25" s="2"/>
      <c r="E25" s="2"/>
      <c r="F25" s="2"/>
      <c r="G25" s="8" t="s">
        <v>22</v>
      </c>
      <c r="H25" s="9">
        <v>15.828379999999999</v>
      </c>
      <c r="I25" s="9">
        <v>59.6477</v>
      </c>
      <c r="J25" s="2"/>
      <c r="K25" s="2"/>
      <c r="L25" s="2"/>
      <c r="M25" s="8" t="s">
        <v>22</v>
      </c>
      <c r="N25" s="9">
        <v>23.00665</v>
      </c>
      <c r="O25" s="9">
        <v>32.916199999999996</v>
      </c>
      <c r="S25" s="8" t="s">
        <v>22</v>
      </c>
      <c r="T25" s="9">
        <v>26.754000000000001</v>
      </c>
      <c r="U25" s="9">
        <v>29.957100000000001</v>
      </c>
      <c r="X25" s="2"/>
      <c r="Y25" s="8" t="s">
        <v>22</v>
      </c>
      <c r="Z25" s="9">
        <v>18.400230000000001</v>
      </c>
      <c r="AA25" s="9">
        <v>22.343399999999999</v>
      </c>
      <c r="AH25" s="5"/>
      <c r="AL25" s="2"/>
      <c r="AZ25" s="2"/>
      <c r="BD25" s="2"/>
      <c r="BE25" s="2"/>
      <c r="BF25" s="2"/>
      <c r="BG25" s="2"/>
      <c r="BH25" s="2"/>
      <c r="BI25" s="2"/>
      <c r="BJ25" s="2"/>
      <c r="BK25" s="2"/>
      <c r="BL25" s="2"/>
      <c r="BM25" s="2"/>
    </row>
    <row r="26" spans="1:65" ht="13" x14ac:dyDescent="0.3">
      <c r="A26" s="8" t="s">
        <v>23</v>
      </c>
      <c r="B26" s="9">
        <v>16.905270000000002</v>
      </c>
      <c r="C26" s="9">
        <v>16.9636</v>
      </c>
      <c r="D26" s="2"/>
      <c r="E26" s="2"/>
      <c r="F26" s="2"/>
      <c r="G26" s="8" t="s">
        <v>23</v>
      </c>
      <c r="H26" s="9">
        <v>18.459129999999998</v>
      </c>
      <c r="I26" s="9">
        <v>70.640999999999991</v>
      </c>
      <c r="J26" s="2"/>
      <c r="K26" s="2"/>
      <c r="L26" s="2"/>
      <c r="M26" s="8" t="s">
        <v>23</v>
      </c>
      <c r="N26" s="9">
        <v>68.388270000000006</v>
      </c>
      <c r="O26" s="9">
        <v>59.536299999999997</v>
      </c>
      <c r="S26" s="8" t="s">
        <v>23</v>
      </c>
      <c r="T26" s="9">
        <v>52.030889999999999</v>
      </c>
      <c r="U26" s="9">
        <v>35.701099999999997</v>
      </c>
      <c r="X26" s="2"/>
      <c r="Y26" s="8" t="s">
        <v>23</v>
      </c>
      <c r="Z26" s="9">
        <v>32.332079999999998</v>
      </c>
      <c r="AA26" s="9">
        <v>19.5505</v>
      </c>
      <c r="AL26" s="2"/>
      <c r="AZ26" s="2"/>
      <c r="BD26" s="2"/>
      <c r="BE26" s="2"/>
      <c r="BF26" s="2"/>
      <c r="BG26" s="2"/>
      <c r="BH26" s="2"/>
      <c r="BI26" s="2"/>
      <c r="BJ26" s="2"/>
      <c r="BK26" s="2"/>
      <c r="BL26" s="2"/>
      <c r="BM26" s="2"/>
    </row>
    <row r="27" spans="1:65" ht="13" x14ac:dyDescent="0.3">
      <c r="A27" s="8" t="s">
        <v>24</v>
      </c>
      <c r="B27" s="9">
        <v>52.191270000000003</v>
      </c>
      <c r="C27" s="9">
        <v>31.4377</v>
      </c>
      <c r="D27" s="2"/>
      <c r="E27" s="2"/>
      <c r="F27" s="2"/>
      <c r="G27" s="8" t="s">
        <v>24</v>
      </c>
      <c r="H27" s="9">
        <v>44.838630000000002</v>
      </c>
      <c r="I27" s="9">
        <v>144.49290000000002</v>
      </c>
      <c r="J27" s="2"/>
      <c r="K27" s="2"/>
      <c r="L27" s="2"/>
      <c r="M27" s="8" t="s">
        <v>24</v>
      </c>
      <c r="N27" s="9">
        <v>64.993549999999999</v>
      </c>
      <c r="O27" s="9">
        <v>80.246099999999998</v>
      </c>
      <c r="S27" s="8" t="s">
        <v>24</v>
      </c>
      <c r="T27" s="9">
        <v>162.4872</v>
      </c>
      <c r="U27" s="9">
        <v>134.54250000000002</v>
      </c>
      <c r="X27" s="2"/>
      <c r="Y27" s="8" t="s">
        <v>24</v>
      </c>
      <c r="Z27" s="9">
        <v>54.373060000000002</v>
      </c>
      <c r="AA27" s="9">
        <v>20.442599999999999</v>
      </c>
      <c r="AL27" s="2"/>
      <c r="AZ27" s="2"/>
      <c r="BD27" s="2"/>
      <c r="BE27" s="2"/>
      <c r="BF27" s="2"/>
      <c r="BG27" s="2"/>
      <c r="BH27" s="2"/>
      <c r="BI27" s="2"/>
      <c r="BJ27" s="2"/>
      <c r="BK27" s="2"/>
      <c r="BL27" s="2"/>
      <c r="BM27" s="2"/>
    </row>
    <row r="28" spans="1:65" ht="13" x14ac:dyDescent="0.3">
      <c r="A28" s="8" t="s">
        <v>25</v>
      </c>
      <c r="B28" s="9">
        <v>65.932749999999999</v>
      </c>
      <c r="C28" s="9">
        <v>41.899899999999995</v>
      </c>
      <c r="D28" s="2"/>
      <c r="E28" s="2"/>
      <c r="F28" s="2"/>
      <c r="G28" s="8" t="s">
        <v>25</v>
      </c>
      <c r="H28" s="9">
        <v>52.943660000000001</v>
      </c>
      <c r="I28" s="9">
        <v>199.22719999999998</v>
      </c>
      <c r="J28" s="2"/>
      <c r="K28" s="2"/>
      <c r="L28" s="2"/>
      <c r="M28" s="8" t="s">
        <v>25</v>
      </c>
      <c r="N28" s="9">
        <v>95.352729999999994</v>
      </c>
      <c r="O28" s="9">
        <v>109.3077</v>
      </c>
      <c r="S28" s="8" t="s">
        <v>25</v>
      </c>
      <c r="T28" s="9">
        <v>239.34129999999999</v>
      </c>
      <c r="U28" s="9">
        <v>171.71080000000001</v>
      </c>
      <c r="X28" s="2"/>
      <c r="Y28" s="8" t="s">
        <v>25</v>
      </c>
      <c r="Z28" s="9">
        <v>72.620750000000001</v>
      </c>
      <c r="AA28" s="9">
        <v>46.2517</v>
      </c>
      <c r="AL28" s="2"/>
      <c r="AZ28" s="2"/>
      <c r="BD28" s="2"/>
      <c r="BE28" s="2"/>
      <c r="BF28" s="2"/>
      <c r="BG28" s="2"/>
      <c r="BH28" s="2"/>
      <c r="BI28" s="2"/>
      <c r="BJ28" s="2"/>
      <c r="BK28" s="2"/>
      <c r="BL28" s="2"/>
      <c r="BM28" s="2"/>
    </row>
    <row r="29" spans="1:65" ht="13" x14ac:dyDescent="0.3">
      <c r="A29" s="8" t="s">
        <v>26</v>
      </c>
      <c r="B29" s="9">
        <v>16.97561</v>
      </c>
      <c r="C29" s="9">
        <v>9.8730999999999991</v>
      </c>
      <c r="D29" s="2"/>
      <c r="E29" s="2"/>
      <c r="F29" s="2"/>
      <c r="G29" s="8" t="s">
        <v>26</v>
      </c>
      <c r="H29" s="9">
        <v>13.47278</v>
      </c>
      <c r="I29" s="9">
        <v>42.668799999999997</v>
      </c>
      <c r="J29" s="2"/>
      <c r="K29" s="2"/>
      <c r="L29" s="2"/>
      <c r="M29" s="8" t="s">
        <v>26</v>
      </c>
      <c r="N29" s="9">
        <v>26.240220000000001</v>
      </c>
      <c r="O29" s="9">
        <v>15.396099999999999</v>
      </c>
      <c r="S29" s="8" t="s">
        <v>26</v>
      </c>
      <c r="T29" s="9">
        <v>19.761949999999999</v>
      </c>
      <c r="U29" s="9">
        <v>12.871600000000001</v>
      </c>
      <c r="X29" s="2"/>
      <c r="Y29" s="8" t="s">
        <v>26</v>
      </c>
      <c r="Z29" s="9">
        <v>20.687760000000001</v>
      </c>
      <c r="AA29" s="9">
        <v>7.7652999999999999</v>
      </c>
      <c r="AL29" s="2"/>
      <c r="AZ29" s="2"/>
      <c r="BD29" s="2"/>
      <c r="BE29" s="2"/>
      <c r="BF29" s="2"/>
      <c r="BG29" s="2"/>
      <c r="BH29" s="2"/>
      <c r="BI29" s="2"/>
      <c r="BJ29" s="2"/>
      <c r="BK29" s="2"/>
      <c r="BL29" s="2"/>
      <c r="BM29" s="2"/>
    </row>
    <row r="30" spans="1:65" ht="13" x14ac:dyDescent="0.3">
      <c r="A30" s="8" t="s">
        <v>34</v>
      </c>
      <c r="B30" s="9">
        <v>18.496649999999999</v>
      </c>
      <c r="C30" s="9">
        <v>17.157399999999999</v>
      </c>
      <c r="D30" s="2"/>
      <c r="E30" s="2"/>
      <c r="F30" s="2"/>
      <c r="G30" s="8" t="s">
        <v>34</v>
      </c>
      <c r="H30" s="9">
        <v>20.293389999999999</v>
      </c>
      <c r="I30" s="9">
        <v>74.860600000000005</v>
      </c>
      <c r="J30" s="2"/>
      <c r="K30" s="2"/>
      <c r="L30" s="2"/>
      <c r="M30" s="8" t="s">
        <v>34</v>
      </c>
      <c r="N30" s="9">
        <v>30.87077</v>
      </c>
      <c r="O30" s="9">
        <v>52.241599999999998</v>
      </c>
      <c r="S30" s="8" t="s">
        <v>34</v>
      </c>
      <c r="T30" s="9">
        <v>57.931139999999999</v>
      </c>
      <c r="U30" s="9">
        <v>60.894500000000001</v>
      </c>
      <c r="X30" s="2"/>
      <c r="Y30" s="8" t="s">
        <v>34</v>
      </c>
      <c r="Z30" s="9">
        <v>16.066410000000001</v>
      </c>
      <c r="AA30" s="9">
        <v>18.252800000000001</v>
      </c>
      <c r="AL30" s="2"/>
      <c r="AZ30" s="2"/>
      <c r="BD30" s="2"/>
      <c r="BE30" s="2"/>
      <c r="BF30" s="2"/>
      <c r="BG30" s="2"/>
      <c r="BH30" s="2"/>
      <c r="BI30" s="2"/>
      <c r="BJ30" s="2"/>
      <c r="BK30" s="2"/>
      <c r="BL30" s="2"/>
      <c r="BM30" s="2"/>
    </row>
    <row r="31" spans="1:65" ht="13" x14ac:dyDescent="0.3">
      <c r="A31" s="8" t="s">
        <v>27</v>
      </c>
      <c r="B31" s="9">
        <v>8.2097040000000003</v>
      </c>
      <c r="C31" s="9">
        <v>16.581499999999998</v>
      </c>
      <c r="D31" s="2"/>
      <c r="E31" s="2"/>
      <c r="F31" s="2"/>
      <c r="G31" s="8" t="s">
        <v>27</v>
      </c>
      <c r="H31" s="9">
        <v>11.45176</v>
      </c>
      <c r="I31" s="9">
        <v>73.988700000000009</v>
      </c>
      <c r="J31" s="2"/>
      <c r="K31" s="2"/>
      <c r="L31" s="2"/>
      <c r="M31" s="8" t="s">
        <v>27</v>
      </c>
      <c r="N31" s="9">
        <v>40.576439999999998</v>
      </c>
      <c r="O31" s="9">
        <v>55.735500000000002</v>
      </c>
      <c r="S31" s="8" t="s">
        <v>27</v>
      </c>
      <c r="T31" s="9">
        <v>31.001999999999999</v>
      </c>
      <c r="U31" s="9">
        <v>74.009599999999992</v>
      </c>
      <c r="X31" s="2"/>
      <c r="Y31" s="8" t="s">
        <v>27</v>
      </c>
      <c r="Z31" s="9">
        <v>28.3049</v>
      </c>
      <c r="AA31" s="9">
        <v>25.4938</v>
      </c>
      <c r="AL31" s="2"/>
      <c r="AZ31" s="2"/>
      <c r="BD31" s="2"/>
      <c r="BE31" s="2"/>
      <c r="BF31" s="2"/>
      <c r="BG31" s="2"/>
      <c r="BH31" s="2"/>
      <c r="BI31" s="2"/>
      <c r="BJ31" s="2"/>
      <c r="BK31" s="2"/>
      <c r="BL31" s="2"/>
      <c r="BM31" s="2"/>
    </row>
    <row r="32" spans="1:65" ht="13" x14ac:dyDescent="0.3">
      <c r="A32" s="8" t="s">
        <v>28</v>
      </c>
      <c r="B32" s="9">
        <v>57.84599</v>
      </c>
      <c r="C32" s="9">
        <v>55.732900000000001</v>
      </c>
      <c r="D32" s="2"/>
      <c r="E32" s="2"/>
      <c r="F32" s="2"/>
      <c r="G32" s="8" t="s">
        <v>28</v>
      </c>
      <c r="H32" s="9">
        <v>51.053780000000003</v>
      </c>
      <c r="I32" s="9">
        <v>330.81509999999997</v>
      </c>
      <c r="J32" s="2"/>
      <c r="K32" s="2"/>
      <c r="L32" s="2"/>
      <c r="M32" s="8" t="s">
        <v>28</v>
      </c>
      <c r="N32" s="9">
        <v>107.3643</v>
      </c>
      <c r="O32" s="9">
        <v>167.81889999999999</v>
      </c>
      <c r="S32" s="8" t="s">
        <v>28</v>
      </c>
      <c r="T32" s="9">
        <v>142.18870000000001</v>
      </c>
      <c r="U32" s="9">
        <v>94.123199999999997</v>
      </c>
      <c r="X32" s="2"/>
      <c r="Y32" s="8" t="s">
        <v>28</v>
      </c>
      <c r="Z32" s="9">
        <v>77.955089999999998</v>
      </c>
      <c r="AA32" s="9">
        <v>90.394300000000001</v>
      </c>
      <c r="AL32" s="2"/>
      <c r="AZ32" s="2"/>
      <c r="BD32" s="2"/>
      <c r="BE32" s="2"/>
      <c r="BF32" s="2"/>
      <c r="BG32" s="2"/>
      <c r="BH32" s="2"/>
      <c r="BI32" s="2"/>
      <c r="BJ32" s="2"/>
      <c r="BK32" s="2"/>
      <c r="BL32" s="2"/>
      <c r="BM32" s="2"/>
    </row>
    <row r="33" spans="1:65" ht="13" x14ac:dyDescent="0.3">
      <c r="A33" s="8" t="s">
        <v>29</v>
      </c>
      <c r="B33" s="9">
        <v>26.709160000000001</v>
      </c>
      <c r="C33" s="9">
        <v>42.610399999999998</v>
      </c>
      <c r="D33" s="2"/>
      <c r="E33" s="2"/>
      <c r="F33" s="2"/>
      <c r="G33" s="8" t="s">
        <v>29</v>
      </c>
      <c r="H33" s="9">
        <v>30.741009999999999</v>
      </c>
      <c r="I33" s="9">
        <v>108.9645</v>
      </c>
      <c r="J33" s="2"/>
      <c r="K33" s="2"/>
      <c r="L33" s="2"/>
      <c r="M33" s="8" t="s">
        <v>29</v>
      </c>
      <c r="N33" s="9">
        <v>33.598120000000002</v>
      </c>
      <c r="O33" s="9">
        <v>57.8568</v>
      </c>
      <c r="S33" s="8" t="s">
        <v>29</v>
      </c>
      <c r="T33" s="9">
        <v>56.37032</v>
      </c>
      <c r="U33" s="9">
        <v>66.356799999999993</v>
      </c>
      <c r="X33" s="2"/>
      <c r="Y33" s="8" t="s">
        <v>29</v>
      </c>
      <c r="Z33" s="9">
        <v>21.053789999999999</v>
      </c>
      <c r="AA33" s="9">
        <v>32.130099999999999</v>
      </c>
      <c r="AL33" s="2"/>
      <c r="AZ33" s="2"/>
      <c r="BD33" s="2"/>
      <c r="BE33" s="2"/>
      <c r="BF33" s="2"/>
      <c r="BG33" s="2"/>
      <c r="BH33" s="2"/>
      <c r="BI33" s="2"/>
      <c r="BJ33" s="2"/>
      <c r="BK33" s="2"/>
      <c r="BL33" s="2"/>
      <c r="BM33" s="2"/>
    </row>
    <row r="34" spans="1:65" ht="13" x14ac:dyDescent="0.3">
      <c r="A34" s="8" t="s">
        <v>30</v>
      </c>
      <c r="B34" s="9">
        <v>13.85627</v>
      </c>
      <c r="C34" s="9">
        <v>28.508300000000002</v>
      </c>
      <c r="D34" s="2"/>
      <c r="E34" s="2"/>
      <c r="F34" s="2"/>
      <c r="G34" s="8" t="s">
        <v>30</v>
      </c>
      <c r="H34" s="9">
        <v>19.352530000000002</v>
      </c>
      <c r="I34" s="9">
        <v>82.500699999999995</v>
      </c>
      <c r="J34" s="2"/>
      <c r="K34" s="2"/>
      <c r="L34" s="2"/>
      <c r="M34" s="8" t="s">
        <v>30</v>
      </c>
      <c r="N34" s="9">
        <v>31.51022</v>
      </c>
      <c r="O34" s="9">
        <v>58.136499999999998</v>
      </c>
      <c r="S34" s="8" t="s">
        <v>30</v>
      </c>
      <c r="T34" s="9">
        <v>40.763260000000002</v>
      </c>
      <c r="U34" s="9">
        <v>48.1008</v>
      </c>
      <c r="X34" s="2"/>
      <c r="Y34" s="8" t="s">
        <v>30</v>
      </c>
      <c r="Z34" s="9">
        <v>26.192229999999999</v>
      </c>
      <c r="AA34" s="9">
        <v>25.826999999999998</v>
      </c>
      <c r="AL34" s="2"/>
      <c r="AZ34" s="2"/>
      <c r="BD34" s="2"/>
      <c r="BE34" s="2"/>
      <c r="BF34" s="2"/>
      <c r="BG34" s="2"/>
      <c r="BH34" s="2"/>
      <c r="BI34" s="2"/>
      <c r="BJ34" s="2"/>
      <c r="BK34" s="2"/>
      <c r="BL34" s="2"/>
      <c r="BM34" s="2"/>
    </row>
    <row r="35" spans="1:65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D35" s="2"/>
      <c r="BE35" s="2"/>
      <c r="BF35" s="2"/>
      <c r="BG35" s="2"/>
      <c r="BH35" s="2"/>
      <c r="BI35" s="2"/>
      <c r="BJ35" s="2"/>
      <c r="BK35" s="2"/>
      <c r="BL35" s="2"/>
      <c r="BM35" s="2"/>
    </row>
    <row r="36" spans="1:65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D36" s="2"/>
      <c r="BE36" s="2"/>
      <c r="BF36" s="2"/>
      <c r="BG36" s="2"/>
      <c r="BH36" s="2"/>
      <c r="BI36" s="2"/>
      <c r="BJ36" s="2"/>
      <c r="BK36" s="2"/>
      <c r="BL36" s="2"/>
      <c r="BM36" s="2"/>
    </row>
    <row r="37" spans="1:65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D37" s="2"/>
      <c r="BE37" s="2"/>
      <c r="BF37" s="2"/>
      <c r="BG37" s="2"/>
      <c r="BH37" s="2"/>
      <c r="BI37" s="2"/>
      <c r="BJ37" s="2"/>
      <c r="BK37" s="2"/>
      <c r="BL37" s="2"/>
      <c r="BM37" s="2"/>
    </row>
    <row r="38" spans="1:65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D38" s="2"/>
      <c r="BE38" s="2"/>
      <c r="BF38" s="2"/>
      <c r="BG38" s="2"/>
      <c r="BH38" s="2"/>
      <c r="BI38" s="2"/>
      <c r="BJ38" s="2"/>
      <c r="BK38" s="2"/>
      <c r="BL38" s="2"/>
      <c r="BM38" s="2"/>
    </row>
    <row r="39" spans="1:6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N40" s="1"/>
      <c r="O40" s="1"/>
      <c r="P40" s="1"/>
      <c r="Q40" s="1"/>
      <c r="R40" s="1"/>
      <c r="S40" s="1"/>
      <c r="T40" s="1"/>
      <c r="U40" s="1"/>
      <c r="V40" s="1"/>
      <c r="W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5" spans="1:65" x14ac:dyDescent="0.25">
      <c r="A45" s="6"/>
      <c r="B45" s="6"/>
      <c r="C45" s="6"/>
    </row>
    <row r="46" spans="1:65" x14ac:dyDescent="0.25">
      <c r="A46" s="7"/>
      <c r="B46" s="7"/>
      <c r="C46" s="7"/>
      <c r="E46" s="1"/>
    </row>
    <row r="47" spans="1:65" x14ac:dyDescent="0.25">
      <c r="A47" s="7"/>
      <c r="B47" s="7"/>
      <c r="C47" s="7"/>
      <c r="E47" s="1"/>
    </row>
    <row r="48" spans="1:65" x14ac:dyDescent="0.25">
      <c r="A48" s="7"/>
      <c r="B48" s="7"/>
      <c r="C48" s="7"/>
      <c r="E48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83" spans="1:51" x14ac:dyDescent="0.25">
      <c r="A83" s="2"/>
      <c r="B83" s="2"/>
      <c r="G83" s="2"/>
      <c r="H83" s="2"/>
      <c r="M83" s="2"/>
      <c r="N83" s="2"/>
    </row>
    <row r="84" spans="1:51" x14ac:dyDescent="0.25">
      <c r="A84" s="2"/>
      <c r="B84" s="2"/>
      <c r="G84" s="2"/>
      <c r="H84" s="2"/>
      <c r="M84" s="2"/>
      <c r="N84" s="2"/>
    </row>
    <row r="85" spans="1:51" x14ac:dyDescent="0.25">
      <c r="A85" s="2"/>
      <c r="B85" s="2"/>
      <c r="G85" s="2"/>
      <c r="H85" s="2"/>
      <c r="M85" s="2"/>
      <c r="N85" s="2"/>
    </row>
    <row r="86" spans="1:51" x14ac:dyDescent="0.25">
      <c r="A86" s="2"/>
      <c r="B86" s="2"/>
      <c r="G86" s="2"/>
      <c r="H86" s="2"/>
      <c r="M86" s="2"/>
      <c r="N86" s="2"/>
    </row>
    <row r="87" spans="1:51" x14ac:dyDescent="0.25">
      <c r="A87" s="2"/>
      <c r="B87" s="2"/>
      <c r="G87" s="2"/>
      <c r="H87" s="2"/>
      <c r="M87" s="2"/>
      <c r="N87" s="2"/>
    </row>
    <row r="88" spans="1:51" x14ac:dyDescent="0.25">
      <c r="A88" s="2"/>
      <c r="B88" s="2"/>
      <c r="D88" s="3"/>
      <c r="G88" s="2"/>
      <c r="H88" s="2"/>
      <c r="J88" s="3"/>
      <c r="M88" s="2"/>
      <c r="N88" s="2"/>
      <c r="P88" s="3"/>
      <c r="Q88" s="3"/>
      <c r="R88" s="3"/>
      <c r="S88" s="3"/>
      <c r="T88" s="3"/>
      <c r="U88" s="3"/>
      <c r="V88" s="3"/>
      <c r="W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</row>
    <row r="89" spans="1:51" x14ac:dyDescent="0.25">
      <c r="A89" s="2"/>
      <c r="B89" s="2"/>
      <c r="D89" s="3"/>
      <c r="G89" s="2"/>
      <c r="H89" s="2"/>
      <c r="J89" s="3"/>
      <c r="M89" s="2"/>
      <c r="N89" s="2"/>
      <c r="P89" s="3"/>
      <c r="Q89" s="3"/>
      <c r="R89" s="3"/>
      <c r="S89" s="3"/>
      <c r="T89" s="3"/>
      <c r="U89" s="3"/>
      <c r="V89" s="3"/>
      <c r="W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</row>
    <row r="90" spans="1:51" x14ac:dyDescent="0.25">
      <c r="A90" s="2"/>
      <c r="B90" s="2"/>
      <c r="D90" s="3"/>
      <c r="G90" s="2"/>
      <c r="H90" s="2"/>
      <c r="J90" s="3"/>
      <c r="M90" s="2"/>
      <c r="N90" s="2"/>
      <c r="P90" s="3"/>
      <c r="Q90" s="3"/>
      <c r="R90" s="3"/>
      <c r="S90" s="3"/>
      <c r="T90" s="3"/>
      <c r="U90" s="3"/>
      <c r="V90" s="3"/>
      <c r="W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</row>
    <row r="91" spans="1:51" x14ac:dyDescent="0.25">
      <c r="A91" s="2"/>
      <c r="B91" s="2"/>
      <c r="D91" s="3"/>
      <c r="G91" s="2"/>
      <c r="H91" s="2"/>
      <c r="J91" s="3"/>
      <c r="M91" s="2"/>
      <c r="N91" s="2"/>
      <c r="P91" s="3"/>
      <c r="Q91" s="3"/>
      <c r="R91" s="3"/>
      <c r="S91" s="3"/>
      <c r="T91" s="3"/>
      <c r="U91" s="3"/>
      <c r="V91" s="3"/>
      <c r="W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</row>
    <row r="92" spans="1:51" x14ac:dyDescent="0.25">
      <c r="A92" s="2"/>
      <c r="B92" s="2"/>
      <c r="D92" s="3"/>
      <c r="G92" s="2"/>
      <c r="H92" s="2"/>
      <c r="J92" s="3"/>
      <c r="M92" s="2"/>
      <c r="N92" s="2"/>
      <c r="P92" s="3"/>
      <c r="Q92" s="3"/>
      <c r="R92" s="3"/>
      <c r="S92" s="3"/>
      <c r="T92" s="3"/>
      <c r="U92" s="3"/>
      <c r="V92" s="3"/>
      <c r="W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</row>
    <row r="93" spans="1:51" x14ac:dyDescent="0.25">
      <c r="A93" s="2"/>
      <c r="B93" s="2"/>
      <c r="D93" s="3"/>
      <c r="G93" s="2"/>
      <c r="H93" s="2"/>
      <c r="J93" s="3"/>
      <c r="M93" s="2"/>
      <c r="N93" s="2"/>
      <c r="P93" s="3"/>
      <c r="Q93" s="3"/>
      <c r="R93" s="3"/>
      <c r="S93" s="3"/>
      <c r="T93" s="3"/>
      <c r="U93" s="3"/>
      <c r="V93" s="3"/>
      <c r="W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</row>
    <row r="94" spans="1:51" x14ac:dyDescent="0.25">
      <c r="A94" s="2"/>
      <c r="B94" s="2"/>
      <c r="D94" s="3"/>
      <c r="G94" s="2"/>
      <c r="H94" s="2"/>
      <c r="J94" s="3"/>
      <c r="M94" s="2"/>
      <c r="N94" s="2"/>
      <c r="P94" s="3"/>
      <c r="Q94" s="3"/>
      <c r="R94" s="3"/>
      <c r="S94" s="3"/>
      <c r="T94" s="3"/>
      <c r="U94" s="3"/>
      <c r="V94" s="3"/>
      <c r="W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 spans="1:51" x14ac:dyDescent="0.25">
      <c r="A95" s="2"/>
      <c r="B95" s="2"/>
      <c r="D95" s="3"/>
      <c r="G95" s="2"/>
      <c r="H95" s="2"/>
      <c r="J95" s="3"/>
      <c r="M95" s="2"/>
      <c r="N95" s="2"/>
      <c r="P95" s="3"/>
      <c r="Q95" s="3"/>
      <c r="R95" s="3"/>
      <c r="S95" s="3"/>
      <c r="T95" s="3"/>
      <c r="U95" s="3"/>
      <c r="V95" s="3"/>
      <c r="W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</row>
    <row r="96" spans="1:51" x14ac:dyDescent="0.25">
      <c r="A96" s="2"/>
      <c r="B96" s="2"/>
      <c r="D96" s="3"/>
      <c r="G96" s="2"/>
      <c r="H96" s="2"/>
      <c r="J96" s="3"/>
      <c r="M96" s="2"/>
      <c r="N96" s="2"/>
      <c r="P96" s="3"/>
      <c r="Q96" s="3"/>
      <c r="R96" s="3"/>
      <c r="S96" s="3"/>
      <c r="T96" s="3"/>
      <c r="U96" s="3"/>
      <c r="V96" s="3"/>
      <c r="W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</row>
    <row r="97" spans="1:51" x14ac:dyDescent="0.25">
      <c r="A97" s="2"/>
      <c r="B97" s="2"/>
      <c r="D97" s="3"/>
      <c r="G97" s="2"/>
      <c r="H97" s="2"/>
      <c r="J97" s="3"/>
      <c r="M97" s="2"/>
      <c r="N97" s="2"/>
      <c r="P97" s="3"/>
      <c r="Q97" s="3"/>
      <c r="R97" s="3"/>
      <c r="S97" s="3"/>
      <c r="T97" s="3"/>
      <c r="U97" s="3"/>
      <c r="V97" s="3"/>
      <c r="W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</row>
    <row r="98" spans="1:51" x14ac:dyDescent="0.25">
      <c r="A98" s="2"/>
      <c r="B98" s="2"/>
      <c r="D98" s="3"/>
      <c r="G98" s="2"/>
      <c r="H98" s="2"/>
      <c r="J98" s="3"/>
      <c r="M98" s="2"/>
      <c r="N98" s="2"/>
      <c r="P98" s="3"/>
      <c r="Q98" s="3"/>
      <c r="R98" s="3"/>
      <c r="S98" s="3"/>
      <c r="T98" s="3"/>
      <c r="U98" s="3"/>
      <c r="V98" s="3"/>
      <c r="W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</row>
    <row r="99" spans="1:51" x14ac:dyDescent="0.25">
      <c r="A99" s="2"/>
      <c r="B99" s="2"/>
      <c r="D99" s="3"/>
      <c r="G99" s="2"/>
      <c r="H99" s="2"/>
      <c r="J99" s="3"/>
      <c r="M99" s="2"/>
      <c r="N99" s="2"/>
      <c r="P99" s="3"/>
      <c r="Q99" s="3"/>
      <c r="R99" s="3"/>
      <c r="S99" s="3"/>
      <c r="T99" s="3"/>
      <c r="U99" s="3"/>
      <c r="V99" s="3"/>
      <c r="W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</row>
    <row r="100" spans="1:51" x14ac:dyDescent="0.25">
      <c r="A100" s="2"/>
      <c r="B100" s="2"/>
      <c r="D100" s="3"/>
      <c r="G100" s="2"/>
      <c r="H100" s="2"/>
      <c r="J100" s="3"/>
      <c r="M100" s="2"/>
      <c r="N100" s="2"/>
      <c r="P100" s="3"/>
      <c r="Q100" s="3"/>
      <c r="R100" s="3"/>
      <c r="S100" s="3"/>
      <c r="T100" s="3"/>
      <c r="U100" s="3"/>
      <c r="V100" s="3"/>
      <c r="W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</row>
    <row r="101" spans="1:51" x14ac:dyDescent="0.25">
      <c r="A101" s="2"/>
      <c r="B101" s="2"/>
      <c r="D101" s="3"/>
      <c r="G101" s="2"/>
      <c r="H101" s="2"/>
      <c r="J101" s="3"/>
      <c r="M101" s="2"/>
      <c r="N101" s="2"/>
      <c r="P101" s="3"/>
      <c r="Q101" s="3"/>
      <c r="R101" s="3"/>
      <c r="S101" s="3"/>
      <c r="T101" s="3"/>
      <c r="U101" s="3"/>
      <c r="V101" s="3"/>
      <c r="W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</row>
    <row r="102" spans="1:51" x14ac:dyDescent="0.25">
      <c r="A102" s="2"/>
      <c r="B102" s="2"/>
      <c r="D102" s="3"/>
      <c r="G102" s="2"/>
      <c r="H102" s="2"/>
      <c r="J102" s="3"/>
      <c r="M102" s="2"/>
      <c r="N102" s="2"/>
      <c r="P102" s="3"/>
      <c r="Q102" s="3"/>
      <c r="R102" s="3"/>
      <c r="S102" s="3"/>
      <c r="T102" s="3"/>
      <c r="U102" s="3"/>
      <c r="V102" s="3"/>
      <c r="W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</row>
    <row r="103" spans="1:51" x14ac:dyDescent="0.25">
      <c r="A103" s="2"/>
      <c r="B103" s="2"/>
      <c r="D103" s="3"/>
      <c r="G103" s="2"/>
      <c r="H103" s="2"/>
      <c r="J103" s="3"/>
      <c r="M103" s="2"/>
      <c r="N103" s="2"/>
      <c r="P103" s="3"/>
      <c r="Q103" s="3"/>
      <c r="R103" s="3"/>
      <c r="S103" s="3"/>
      <c r="T103" s="3"/>
      <c r="U103" s="3"/>
      <c r="V103" s="3"/>
      <c r="W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</row>
    <row r="104" spans="1:51" x14ac:dyDescent="0.25">
      <c r="A104" s="2"/>
      <c r="B104" s="2"/>
      <c r="D104" s="3"/>
      <c r="G104" s="2"/>
      <c r="H104" s="2"/>
      <c r="J104" s="3"/>
      <c r="M104" s="2"/>
      <c r="N104" s="2"/>
      <c r="P104" s="3"/>
      <c r="Q104" s="3"/>
      <c r="R104" s="3"/>
      <c r="S104" s="3"/>
      <c r="T104" s="3"/>
      <c r="U104" s="3"/>
      <c r="V104" s="3"/>
      <c r="W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</row>
    <row r="105" spans="1:51" x14ac:dyDescent="0.25">
      <c r="A105" s="2"/>
      <c r="B105" s="2"/>
      <c r="D105" s="3"/>
      <c r="G105" s="2"/>
      <c r="H105" s="2"/>
      <c r="J105" s="3"/>
      <c r="M105" s="2"/>
      <c r="N105" s="2"/>
      <c r="P105" s="3"/>
      <c r="Q105" s="3"/>
      <c r="R105" s="3"/>
      <c r="S105" s="3"/>
      <c r="T105" s="3"/>
      <c r="U105" s="3"/>
      <c r="V105" s="3"/>
      <c r="W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</row>
    <row r="106" spans="1:51" x14ac:dyDescent="0.25">
      <c r="A106" s="2"/>
      <c r="B106" s="2"/>
      <c r="D106" s="3"/>
      <c r="G106" s="2"/>
      <c r="H106" s="2"/>
      <c r="J106" s="3"/>
      <c r="M106" s="2"/>
      <c r="N106" s="2"/>
      <c r="P106" s="3"/>
      <c r="Q106" s="3"/>
      <c r="R106" s="3"/>
      <c r="S106" s="3"/>
      <c r="T106" s="3"/>
      <c r="U106" s="3"/>
      <c r="V106" s="3"/>
      <c r="W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</row>
    <row r="107" spans="1:51" x14ac:dyDescent="0.25">
      <c r="A107" s="2"/>
      <c r="B107" s="2"/>
      <c r="D107" s="3"/>
      <c r="G107" s="2"/>
      <c r="H107" s="2"/>
      <c r="J107" s="3"/>
      <c r="M107" s="2"/>
      <c r="N107" s="2"/>
      <c r="P107" s="3"/>
      <c r="Q107" s="3"/>
      <c r="R107" s="3"/>
      <c r="S107" s="3"/>
      <c r="T107" s="3"/>
      <c r="U107" s="3"/>
      <c r="V107" s="3"/>
      <c r="W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</row>
    <row r="108" spans="1:51" x14ac:dyDescent="0.25">
      <c r="A108" s="2"/>
      <c r="B108" s="2"/>
      <c r="D108" s="3"/>
      <c r="G108" s="2"/>
      <c r="H108" s="2"/>
      <c r="J108" s="3"/>
      <c r="M108" s="2"/>
      <c r="N108" s="2"/>
      <c r="O108" s="3"/>
      <c r="P108" s="3"/>
      <c r="Q108" s="3"/>
      <c r="R108" s="3"/>
      <c r="S108" s="3"/>
      <c r="T108" s="3"/>
      <c r="U108" s="3"/>
      <c r="V108" s="3"/>
      <c r="W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</row>
    <row r="109" spans="1:51" x14ac:dyDescent="0.25">
      <c r="A109" s="1"/>
      <c r="B109" s="1"/>
      <c r="D109" s="3"/>
      <c r="G109" s="1"/>
      <c r="H109" s="1"/>
      <c r="J109" s="3"/>
      <c r="M109" s="1"/>
      <c r="N109" s="1"/>
      <c r="O109" s="3"/>
      <c r="P109" s="3"/>
      <c r="Q109" s="3"/>
      <c r="R109" s="3"/>
      <c r="S109" s="3"/>
      <c r="T109" s="3"/>
      <c r="U109" s="3"/>
      <c r="V109" s="3"/>
      <c r="W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</row>
    <row r="110" spans="1:51" x14ac:dyDescent="0.25">
      <c r="A110" s="2"/>
      <c r="B110" s="2"/>
      <c r="G110" s="2"/>
      <c r="H110" s="2"/>
      <c r="M110" s="2"/>
      <c r="N110" s="2"/>
    </row>
    <row r="111" spans="1:51" x14ac:dyDescent="0.25">
      <c r="A111" s="2"/>
      <c r="B111" s="2"/>
      <c r="G111" s="2"/>
      <c r="H111" s="2"/>
      <c r="M111" s="2"/>
      <c r="N111" s="2"/>
    </row>
    <row r="112" spans="1:51" x14ac:dyDescent="0.25">
      <c r="A112" s="1"/>
      <c r="B112" s="1"/>
      <c r="G112" s="1"/>
      <c r="H112" s="1"/>
      <c r="M112" s="1"/>
      <c r="N112" s="1"/>
    </row>
  </sheetData>
  <sortState xmlns:xlrd2="http://schemas.microsoft.com/office/spreadsheetml/2017/richdata2" ref="BI8:BL142">
    <sortCondition ref="BI8:BI142"/>
    <sortCondition ref="BJ8:BJ14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36BA0-66D7-42CF-AF4E-9B35A47236D6}">
  <dimension ref="A1:D27"/>
  <sheetViews>
    <sheetView workbookViewId="0">
      <selection activeCell="A12" sqref="A12"/>
    </sheetView>
  </sheetViews>
  <sheetFormatPr defaultRowHeight="12.5" x14ac:dyDescent="0.25"/>
  <cols>
    <col min="1" max="1" width="44.08984375" customWidth="1"/>
  </cols>
  <sheetData>
    <row r="1" spans="1:4" ht="14.5" x14ac:dyDescent="0.35">
      <c r="A1" s="28" t="s">
        <v>58</v>
      </c>
      <c r="B1" s="2"/>
      <c r="C1" s="2"/>
      <c r="D1" s="2"/>
    </row>
    <row r="3" spans="1:4" x14ac:dyDescent="0.25">
      <c r="A3" t="s">
        <v>57</v>
      </c>
      <c r="B3" s="2"/>
    </row>
    <row r="4" spans="1:4" x14ac:dyDescent="0.25">
      <c r="A4" t="s">
        <v>59</v>
      </c>
      <c r="B4" s="27">
        <v>0.56041711353474033</v>
      </c>
    </row>
    <row r="5" spans="1:4" x14ac:dyDescent="0.25">
      <c r="A5" t="s">
        <v>60</v>
      </c>
      <c r="B5" s="27">
        <v>0.52046581759902888</v>
      </c>
    </row>
    <row r="6" spans="1:4" x14ac:dyDescent="0.25">
      <c r="A6" t="s">
        <v>61</v>
      </c>
      <c r="B6" s="27">
        <v>0.36875961324039813</v>
      </c>
    </row>
    <row r="7" spans="1:4" x14ac:dyDescent="0.25">
      <c r="A7" t="s">
        <v>62</v>
      </c>
      <c r="B7" s="27">
        <v>0.74027109652474943</v>
      </c>
    </row>
    <row r="8" spans="1:4" x14ac:dyDescent="0.25">
      <c r="A8" t="s">
        <v>63</v>
      </c>
      <c r="B8" s="27">
        <v>0.7675044559258174</v>
      </c>
    </row>
    <row r="9" spans="1:4" x14ac:dyDescent="0.25">
      <c r="A9" t="s">
        <v>64</v>
      </c>
      <c r="B9" s="27">
        <v>0.6992538533569167</v>
      </c>
    </row>
    <row r="10" spans="1:4" x14ac:dyDescent="0.25">
      <c r="A10" t="s">
        <v>65</v>
      </c>
      <c r="B10" s="27">
        <v>0.81980625852267697</v>
      </c>
    </row>
    <row r="11" spans="1:4" x14ac:dyDescent="0.25">
      <c r="A11" t="s">
        <v>66</v>
      </c>
      <c r="B11" s="27">
        <v>0.70234147416820192</v>
      </c>
    </row>
    <row r="12" spans="1:4" x14ac:dyDescent="0.25">
      <c r="B12" s="27"/>
    </row>
    <row r="13" spans="1:4" x14ac:dyDescent="0.25">
      <c r="B13" s="27"/>
    </row>
    <row r="14" spans="1:4" x14ac:dyDescent="0.25">
      <c r="B14" s="27"/>
    </row>
    <row r="15" spans="1:4" x14ac:dyDescent="0.25">
      <c r="B15" s="27"/>
    </row>
    <row r="16" spans="1:4" x14ac:dyDescent="0.25">
      <c r="B16" s="27"/>
    </row>
    <row r="17" spans="2:4" x14ac:dyDescent="0.25">
      <c r="B17" s="27"/>
    </row>
    <row r="18" spans="2:4" x14ac:dyDescent="0.25">
      <c r="B18" s="27"/>
    </row>
    <row r="19" spans="2:4" x14ac:dyDescent="0.25">
      <c r="B19" s="27"/>
    </row>
    <row r="22" spans="2:4" x14ac:dyDescent="0.25">
      <c r="D22" s="27"/>
    </row>
    <row r="23" spans="2:4" x14ac:dyDescent="0.25">
      <c r="D23" s="27"/>
    </row>
    <row r="24" spans="2:4" x14ac:dyDescent="0.25">
      <c r="D24" s="27"/>
    </row>
    <row r="25" spans="2:4" x14ac:dyDescent="0.25">
      <c r="D25" s="27"/>
    </row>
    <row r="26" spans="2:4" x14ac:dyDescent="0.25">
      <c r="D26" s="27"/>
    </row>
    <row r="27" spans="2:4" x14ac:dyDescent="0.25">
      <c r="D27" s="27"/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54DB4-68D1-4883-8157-021E4015C684}">
  <dimension ref="A1:J10"/>
  <sheetViews>
    <sheetView tabSelected="1" workbookViewId="0">
      <selection activeCell="K34" sqref="K34"/>
    </sheetView>
  </sheetViews>
  <sheetFormatPr defaultRowHeight="12.5" x14ac:dyDescent="0.25"/>
  <cols>
    <col min="1" max="1" width="11.1796875" customWidth="1"/>
    <col min="2" max="2" width="23.453125" customWidth="1"/>
    <col min="3" max="3" width="18.1796875" customWidth="1"/>
    <col min="4" max="4" width="14.90625" customWidth="1"/>
    <col min="5" max="5" width="14" customWidth="1"/>
    <col min="6" max="6" width="15.6328125" customWidth="1"/>
    <col min="8" max="8" width="10.26953125" customWidth="1"/>
    <col min="9" max="9" width="14.6328125" customWidth="1"/>
    <col min="10" max="10" width="16.7265625" customWidth="1"/>
    <col min="11" max="11" width="16.36328125" customWidth="1"/>
    <col min="12" max="12" width="14.08984375" customWidth="1"/>
    <col min="13" max="13" width="14.54296875" customWidth="1"/>
    <col min="14" max="14" width="12.6328125" customWidth="1"/>
  </cols>
  <sheetData>
    <row r="1" spans="1:10" ht="16" x14ac:dyDescent="0.4">
      <c r="A1" s="26"/>
    </row>
    <row r="3" spans="1:10" ht="16" x14ac:dyDescent="0.4">
      <c r="A3" s="25" t="s">
        <v>50</v>
      </c>
    </row>
    <row r="4" spans="1:10" ht="16" x14ac:dyDescent="0.4">
      <c r="A4" s="25"/>
    </row>
    <row r="5" spans="1:10" ht="101.5" x14ac:dyDescent="0.35">
      <c r="A5" s="24"/>
      <c r="B5" s="23" t="s">
        <v>56</v>
      </c>
      <c r="C5" s="22"/>
      <c r="D5" s="21"/>
      <c r="E5" s="21" t="s">
        <v>51</v>
      </c>
      <c r="F5" s="21" t="s">
        <v>52</v>
      </c>
      <c r="G5" s="21" t="s">
        <v>53</v>
      </c>
      <c r="H5" s="21" t="s">
        <v>54</v>
      </c>
      <c r="I5" s="21" t="s">
        <v>55</v>
      </c>
    </row>
    <row r="6" spans="1:10" ht="14.5" x14ac:dyDescent="0.35">
      <c r="A6" t="s">
        <v>49</v>
      </c>
      <c r="B6" s="17" t="s">
        <v>48</v>
      </c>
      <c r="C6" s="17"/>
      <c r="D6" s="19"/>
      <c r="E6" s="19"/>
      <c r="F6" s="20"/>
      <c r="G6" s="19"/>
      <c r="H6" s="20"/>
      <c r="I6" s="19"/>
    </row>
    <row r="7" spans="1:10" ht="14.5" x14ac:dyDescent="0.35">
      <c r="A7" t="s">
        <v>47</v>
      </c>
      <c r="B7" s="18">
        <v>2.13</v>
      </c>
      <c r="C7" s="17"/>
      <c r="D7" s="16" t="s">
        <v>46</v>
      </c>
      <c r="E7" s="14">
        <v>1.0900000000000001</v>
      </c>
      <c r="F7" s="15">
        <v>-4.24</v>
      </c>
      <c r="G7" s="14">
        <v>0.25</v>
      </c>
      <c r="H7" s="15">
        <v>1.84</v>
      </c>
      <c r="I7" s="14">
        <v>3.19</v>
      </c>
      <c r="J7" s="1">
        <f>SUM(E7:I7)</f>
        <v>2.13</v>
      </c>
    </row>
    <row r="8" spans="1:10" ht="14.5" x14ac:dyDescent="0.35">
      <c r="A8" t="s">
        <v>45</v>
      </c>
      <c r="B8" s="18">
        <v>4.22</v>
      </c>
      <c r="C8" s="17"/>
      <c r="D8" s="16" t="s">
        <v>44</v>
      </c>
      <c r="E8" s="14">
        <v>1.26</v>
      </c>
      <c r="F8" s="15">
        <v>-4.37</v>
      </c>
      <c r="G8" s="14">
        <v>0.38</v>
      </c>
      <c r="H8" s="15">
        <v>1.79</v>
      </c>
      <c r="I8" s="14">
        <v>5.16</v>
      </c>
      <c r="J8" s="1">
        <f>SUM(E8:I8)</f>
        <v>4.22</v>
      </c>
    </row>
    <row r="9" spans="1:10" ht="14.5" x14ac:dyDescent="0.35">
      <c r="A9" t="s">
        <v>43</v>
      </c>
      <c r="B9" s="18">
        <v>-2.2799999999999998</v>
      </c>
      <c r="C9" s="17"/>
      <c r="D9" s="16" t="s">
        <v>42</v>
      </c>
      <c r="E9" s="14">
        <v>0.7</v>
      </c>
      <c r="F9" s="15">
        <v>0</v>
      </c>
      <c r="G9" s="14">
        <v>-0.03</v>
      </c>
      <c r="H9" s="15">
        <v>-0.03</v>
      </c>
      <c r="I9" s="14">
        <v>-2.93</v>
      </c>
      <c r="J9" s="1">
        <f>SUM(E9:I9)</f>
        <v>-2.29</v>
      </c>
    </row>
    <row r="10" spans="1:10" ht="14.5" x14ac:dyDescent="0.35">
      <c r="A10" t="s">
        <v>41</v>
      </c>
      <c r="B10" s="18">
        <v>3.99</v>
      </c>
      <c r="C10" s="17"/>
      <c r="D10" s="16" t="s">
        <v>40</v>
      </c>
      <c r="E10" s="14">
        <v>3.24</v>
      </c>
      <c r="F10" s="15">
        <v>-0.05</v>
      </c>
      <c r="G10" s="14">
        <v>0.2</v>
      </c>
      <c r="H10" s="15">
        <v>-0.13</v>
      </c>
      <c r="I10" s="14">
        <v>0.75</v>
      </c>
      <c r="J10" s="1">
        <f>SUM(E10:I10)</f>
        <v>4.0100000000000007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kuvio1</vt:lpstr>
      <vt:lpstr>kuvio2</vt:lpstr>
      <vt:lpstr>kuvio3</vt:lpstr>
      <vt:lpstr>kuvio4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Ville Kaitila</dc:creator>
  <cp:lastModifiedBy>Natalia Kuosmanen</cp:lastModifiedBy>
  <dcterms:created xsi:type="dcterms:W3CDTF">2025-01-17T13:50:37Z</dcterms:created>
  <dcterms:modified xsi:type="dcterms:W3CDTF">2026-08-31T08:08:47Z</dcterms:modified>
</cp:coreProperties>
</file>